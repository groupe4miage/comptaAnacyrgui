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480" yWindow="30" windowWidth="14115" windowHeight="7230" tabRatio="932" firstSheet="3" activeTab="10"/>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Feuil1" sheetId="20" r:id="rId12"/>
    <sheet name="Code caisse" sheetId="9" r:id="rId13"/>
  </sheets>
  <externalReferences>
    <externalReference r:id="rId14"/>
    <externalReference r:id="rId15"/>
  </externalReferences>
  <definedNames>
    <definedName name="Segment_Code_caisse">#N/A</definedName>
    <definedName name="Segment_Mois">#N/A</definedName>
  </definedNames>
  <calcPr calcId="145621"/>
  <pivotCaches>
    <pivotCache cacheId="81" r:id="rId16"/>
    <pivotCache cacheId="10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N21" i="16" l="1"/>
  <c r="N18" i="16"/>
  <c r="N19" i="16"/>
  <c r="N20" i="16"/>
  <c r="N22" i="16"/>
  <c r="N23" i="16"/>
  <c r="N24" i="16"/>
  <c r="N25" i="16"/>
  <c r="N26" i="16"/>
  <c r="N27" i="16"/>
  <c r="K27" i="16"/>
  <c r="K26" i="16"/>
  <c r="K19" i="16"/>
  <c r="K20" i="16"/>
  <c r="K21" i="16"/>
  <c r="K22" i="16"/>
  <c r="K23" i="16"/>
  <c r="K24" i="16"/>
  <c r="K25" i="16"/>
  <c r="K18" i="16"/>
  <c r="H14" i="18"/>
  <c r="H15" i="18" s="1"/>
  <c r="H16" i="18" s="1"/>
  <c r="H17" i="18" s="1"/>
  <c r="H18" i="18" s="1"/>
  <c r="H19" i="18" s="1"/>
  <c r="C20" i="10"/>
  <c r="C19" i="10"/>
  <c r="C18" i="10"/>
  <c r="C17" i="10"/>
  <c r="C28" i="8"/>
  <c r="C25" i="8"/>
  <c r="C22" i="8"/>
  <c r="C21" i="8"/>
  <c r="C18" i="8"/>
  <c r="C17" i="8"/>
  <c r="C16" i="8"/>
  <c r="J24" i="5" l="1"/>
  <c r="J23" i="5"/>
  <c r="J20" i="5" l="1"/>
  <c r="J28" i="5"/>
  <c r="J29" i="5" s="1"/>
  <c r="J22" i="5"/>
  <c r="J21" i="5"/>
  <c r="J42" i="5"/>
  <c r="J41" i="5"/>
  <c r="J40" i="5"/>
  <c r="J39" i="5"/>
  <c r="J38" i="5"/>
  <c r="J37" i="5"/>
  <c r="J36" i="5"/>
  <c r="J35" i="5"/>
  <c r="J34" i="5"/>
  <c r="J33" i="5"/>
  <c r="J32" i="5"/>
  <c r="I43" i="5"/>
  <c r="H43" i="5"/>
  <c r="I29" i="5"/>
  <c r="H29" i="5"/>
  <c r="I25" i="5"/>
  <c r="D17" i="5" s="1"/>
  <c r="H25" i="5"/>
  <c r="C17" i="5" s="1"/>
  <c r="J19" i="5"/>
  <c r="J18" i="5"/>
  <c r="J17" i="5"/>
  <c r="C18" i="5" l="1"/>
  <c r="C19" i="5" s="1"/>
  <c r="J43" i="5"/>
  <c r="D18" i="5"/>
  <c r="J25" i="5"/>
  <c r="E17" i="5"/>
  <c r="E18" i="5" l="1"/>
  <c r="D19" i="5"/>
  <c r="E19" i="5"/>
  <c r="D22" i="14" l="1"/>
  <c r="D23" i="14"/>
  <c r="D24" i="14"/>
  <c r="D25" i="14"/>
  <c r="D26" i="14"/>
  <c r="D27" i="14"/>
  <c r="D28" i="14"/>
  <c r="D29" i="14"/>
  <c r="D30" i="14"/>
  <c r="D31" i="14"/>
  <c r="D32" i="14"/>
  <c r="D33" i="14"/>
  <c r="D34" i="14"/>
  <c r="D35" i="14"/>
  <c r="D36" i="14"/>
  <c r="D37" i="14" l="1"/>
  <c r="D71" i="8"/>
  <c r="C71" i="8"/>
  <c r="D68" i="8"/>
  <c r="C68" i="8"/>
  <c r="D65" i="8"/>
  <c r="C65" i="8"/>
  <c r="D62" i="8"/>
  <c r="C62" i="8"/>
  <c r="D59" i="8"/>
  <c r="C59" i="8"/>
  <c r="D56" i="8"/>
  <c r="C56" i="8"/>
  <c r="D53" i="8"/>
  <c r="C53" i="8"/>
  <c r="D50" i="8"/>
  <c r="C50" i="8"/>
  <c r="D47" i="8"/>
  <c r="C47" i="8"/>
  <c r="D44" i="8"/>
  <c r="C44" i="8"/>
  <c r="D41" i="8"/>
  <c r="C41" i="8"/>
  <c r="D38" i="8"/>
  <c r="C38" i="8"/>
  <c r="D35" i="8"/>
  <c r="C35" i="8"/>
  <c r="C32" i="8"/>
  <c r="D32" i="8"/>
  <c r="C29" i="8"/>
  <c r="D29" i="8"/>
  <c r="D26" i="8"/>
  <c r="C26" i="8"/>
  <c r="D23" i="8"/>
  <c r="C23" i="8"/>
  <c r="C19" i="8"/>
  <c r="D19" i="8"/>
  <c r="C14" i="8"/>
  <c r="D14" i="8"/>
  <c r="B71" i="8"/>
  <c r="B68" i="8"/>
  <c r="B65" i="8"/>
  <c r="B62" i="8"/>
  <c r="B59" i="8"/>
  <c r="B56" i="8"/>
  <c r="B53" i="8"/>
  <c r="B50" i="8"/>
  <c r="B47" i="8"/>
  <c r="B44" i="8"/>
  <c r="B41" i="8"/>
  <c r="B38" i="8"/>
  <c r="B35" i="8"/>
  <c r="B32" i="8"/>
  <c r="B29" i="8"/>
  <c r="B26" i="8"/>
  <c r="B23" i="8"/>
  <c r="B19" i="8"/>
  <c r="B14" i="8"/>
  <c r="G23" i="14" l="1"/>
  <c r="G24" i="14" l="1"/>
  <c r="G25" i="14"/>
</calcChain>
</file>

<file path=xl/sharedStrings.xml><?xml version="1.0" encoding="utf-8"?>
<sst xmlns="http://schemas.openxmlformats.org/spreadsheetml/2006/main" count="375" uniqueCount="154">
  <si>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</si>
  <si>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</si>
  <si>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</si>
  <si>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</si>
  <si>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</si>
  <si>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</si>
  <si>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</si>
  <si>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</si>
  <si>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</si>
  <si>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</si>
  <si>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</si>
  <si>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</si>
  <si>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</si>
  <si>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</si>
  <si>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</si>
  <si>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</si>
  <si>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</si>
  <si>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</si>
  <si>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</si>
  <si>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</si>
  <si>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</si>
  <si>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</si>
  <si>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</si>
  <si>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</si>
  <si>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</si>
  <si>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</si>
  <si>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</si>
  <si>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</si>
  <si>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</si>
  <si>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</si>
  <si>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</si>
  <si>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</si>
  <si>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</si>
  <si>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</si>
  <si>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</si>
  <si>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</si>
  <si>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</si>
  <si>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</si>
  <si>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</si>
  <si>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</si>
  <si>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</si>
  <si>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Compte de résultat</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</si>
  <si>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</si>
  <si>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</si>
  <si>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</si>
  <si>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</si>
  <si>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</si>
  <si>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</si>
  <si>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</si>
  <si>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</si>
  <si>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</si>
  <si>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</si>
  <si>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</si>
  <si>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</si>
  <si>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</si>
  <si>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</si>
  <si>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</si>
  <si>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</si>
  <si>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</si>
  <si>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</si>
  <si>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</si>
  <si>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</si>
  <si>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</si>
  <si>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</si>
  <si>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</si>
  <si>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</si>
  <si>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</si>
  <si>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</si>
  <si>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</si>
  <si>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</si>
  <si>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</si>
  <si>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</si>
  <si>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Coût d'achat unitaire (PEPS)</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</si>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</sst>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 _€_-;\-* #,##0.00\ _€_-;_-* &quot;-&quot;??\ _€_-;_-@_-"/>
    <numFmt numFmtId="164" formatCode="#,##0.00\ &quot;€&quot;"/>
    <numFmt numFmtId="165" formatCode="_(* #,##0.00_);_(* \(#,##0.00\);_(* &quot;-&quot;??_);_(@_)"/>
    <numFmt numFmtId="166" formatCode="0.0%"/>
    <numFmt numFmtId="167" formatCode="0.00_ ;[Red]\-0.00\ "/>
    <numFmt numFmtId="168" formatCode="mmmm\ yyyy"/>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xf numFmtId="0" fontId="1" fillId="0" borderId="0" applyNumberFormat="0" applyFill="0" applyBorder="0" applyAlignment="0" applyProtection="0"/>
    <xf numFmtId="43" fontId="13" fillId="0" borderId="0" applyFont="0" applyFill="0" applyBorder="0" applyAlignment="0" applyProtection="0"/>
    <xf numFmtId="9" fontId="13" fillId="0" borderId="0" applyFont="0" applyFill="0" applyBorder="0" applyAlignment="0" applyProtection="0"/>
  </cellStyleXfs>
  <cellXfs count="78">
    <xf numFmtId="0" fontId="0" fillId="0" borderId="0" xfId="0"/>
    <xf numFmtId="0" fontId="1" fillId="0" borderId="0" xfId="1" quotePrefix="1"/>
    <xf numFmtId="0" fontId="3" fillId="0" borderId="0" xfId="0" applyFont="1"/>
    <xf numFmtId="0" fontId="0" fillId="0" borderId="0" xfId="0" applyAlignment="1">
      <alignment horizontal="center"/>
    </xf>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4" fontId="5" fillId="0" borderId="0" xfId="0" applyNumberFormat="1" applyFont="1" applyAlignment="1">
      <alignment horizontal="center" vertical="center"/>
    </xf>
    <xf numFmtId="164"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4" fontId="6" fillId="4" borderId="1" xfId="0" applyNumberFormat="1" applyFont="1" applyFill="1" applyBorder="1"/>
    <xf numFmtId="164" fontId="6" fillId="0" borderId="1" xfId="0" applyNumberFormat="1" applyFont="1" applyBorder="1"/>
    <xf numFmtId="164" fontId="11" fillId="4" borderId="1" xfId="0" applyNumberFormat="1" applyFont="1" applyFill="1" applyBorder="1"/>
    <xf numFmtId="164" fontId="8" fillId="5" borderId="1" xfId="0" applyNumberFormat="1" applyFont="1" applyFill="1" applyBorder="1"/>
    <xf numFmtId="0" fontId="10" fillId="2" borderId="1" xfId="0" applyFont="1" applyFill="1" applyBorder="1"/>
    <xf numFmtId="0" fontId="6" fillId="0" borderId="1" xfId="0" applyFont="1" applyBorder="1"/>
    <xf numFmtId="164"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4" fontId="0" fillId="0" borderId="0" xfId="0" applyNumberFormat="1" applyAlignment="1">
      <alignment horizontal="center" vertical="center" wrapText="1"/>
    </xf>
    <xf numFmtId="164" fontId="0" fillId="0" borderId="0" xfId="0" applyNumberFormat="1" applyAlignment="1">
      <alignment horizontal="right" vertical="center" wrapText="1"/>
    </xf>
    <xf numFmtId="164"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12" fillId="6" borderId="3" xfId="0" applyFont="1" applyFill="1" applyBorder="1" applyAlignment="1">
      <alignment horizontal="center" vertical="center" wrapText="1"/>
    </xf>
    <xf numFmtId="0" fontId="0" fillId="7" borderId="3" xfId="0" applyFont="1" applyFill="1" applyBorder="1" applyAlignment="1">
      <alignment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43" fontId="0" fillId="0" borderId="0" xfId="2" applyFont="1" applyFill="1" applyBorder="1"/>
    <xf numFmtId="0" fontId="0" fillId="0" borderId="0" xfId="0" applyFont="1" applyFill="1" applyBorder="1"/>
    <xf numFmtId="165" fontId="0" fillId="0" borderId="0" xfId="2" applyNumberFormat="1" applyFont="1" applyFill="1" applyBorder="1"/>
    <xf numFmtId="166" fontId="0" fillId="0" borderId="0" xfId="3" applyNumberFormat="1" applyFont="1" applyFill="1" applyBorder="1"/>
    <xf numFmtId="165" fontId="0" fillId="0" borderId="0" xfId="0" applyNumberFormat="1" applyFont="1" applyFill="1" applyBorder="1"/>
    <xf numFmtId="166" fontId="0" fillId="0" borderId="0" xfId="0" applyNumberFormat="1" applyFont="1" applyFill="1" applyBorder="1"/>
    <xf numFmtId="0" fontId="0" fillId="0" borderId="0" xfId="0" applyFill="1" applyAlignment="1">
      <alignment vertical="center"/>
    </xf>
    <xf numFmtId="40" fontId="0" fillId="0" borderId="0" xfId="0" applyNumberFormat="1" applyFill="1"/>
    <xf numFmtId="0" fontId="0" fillId="0" borderId="0" xfId="0" applyFill="1" applyAlignment="1"/>
    <xf numFmtId="9" fontId="0" fillId="0" borderId="0" xfId="3" applyFont="1" applyFill="1" applyAlignment="1">
      <alignment horizontal="right"/>
    </xf>
    <xf numFmtId="0" fontId="14" fillId="0" borderId="0" xfId="0" applyFont="1" applyFill="1" applyAlignment="1">
      <alignment vertical="center"/>
    </xf>
    <xf numFmtId="0" fontId="0" fillId="0" borderId="0" xfId="0" applyFill="1" applyAlignment="1">
      <alignment horizontal="center"/>
    </xf>
    <xf numFmtId="167" fontId="0" fillId="0" borderId="0" xfId="0" applyNumberFormat="1"/>
    <xf numFmtId="167" fontId="0" fillId="0" borderId="0" xfId="0" applyNumberFormat="1" applyFill="1"/>
    <xf numFmtId="167" fontId="0" fillId="0" borderId="0" xfId="0" applyNumberFormat="1" applyFont="1" applyFill="1" applyBorder="1" applyAlignment="1">
      <alignment vertical="center"/>
    </xf>
    <xf numFmtId="167" fontId="0" fillId="0" borderId="0" xfId="2" applyNumberFormat="1" applyFont="1" applyFill="1" applyBorder="1"/>
    <xf numFmtId="167" fontId="0" fillId="0" borderId="0" xfId="0" applyNumberFormat="1" applyFont="1" applyFill="1" applyBorder="1"/>
    <xf numFmtId="167" fontId="0" fillId="0" borderId="0" xfId="0" applyNumberFormat="1" applyFill="1" applyAlignment="1">
      <alignment horizontal="center"/>
    </xf>
    <xf numFmtId="0" fontId="15" fillId="0" borderId="0" xfId="0" applyFont="1" applyFill="1" applyBorder="1" applyAlignment="1">
      <alignment horizontal="left" indent="1"/>
    </xf>
    <xf numFmtId="40" fontId="15" fillId="0" borderId="0" xfId="0" applyNumberFormat="1" applyFont="1" applyFill="1" applyBorder="1"/>
    <xf numFmtId="167" fontId="15" fillId="0" borderId="0" xfId="0" applyNumberFormat="1" applyFont="1" applyFill="1" applyBorder="1"/>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8" fontId="0" fillId="0" borderId="0" xfId="0" applyNumberFormat="1" applyAlignment="1">
      <alignment wrapText="1"/>
    </xf>
    <xf numFmtId="168" fontId="0" fillId="0" borderId="0" xfId="0" applyNumberFormat="1" applyAlignment="1">
      <alignment horizontal="center" vertical="center" wrapText="1"/>
    </xf>
    <xf numFmtId="168" fontId="0" fillId="0" borderId="0" xfId="0" applyNumberFormat="1" applyAlignment="1">
      <alignment horizontal="right" vertical="center" wrapText="1"/>
    </xf>
    <xf numFmtId="164" fontId="3" fillId="0" borderId="0" xfId="0" applyNumberFormat="1" applyFont="1" applyAlignment="1">
      <alignment horizontal="left" wrapText="1"/>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4"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lignment horizontal="center"/>
    </xf>
    <xf numFmtId="0" fontId="4" fillId="0" borderId="1" xfId="0" applyFont="1" applyBorder="1" applyAlignment="1">
      <alignment horizontal="center"/>
    </xf>
    <xf numFmtId="164" fontId="3" fillId="0" borderId="0" xfId="0" applyNumberFormat="1" applyFont="1" applyAlignment="1">
      <alignment horizontal="center" vertical="center"/>
    </xf>
  </cellXfs>
  <cellStyles count="4">
    <cellStyle name="Lien hypertexte" xfId="1" builtinId="8"/>
    <cellStyle name="Milliers" xfId="2" builtinId="3"/>
    <cellStyle name="Normal" xfId="0" builtinId="0"/>
    <cellStyle name="Pourcentage" xfId="3" builtinId="5"/>
  </cellStyles>
  <dxfs count="267">
    <dxf>
      <numFmt numFmtId="168" formatCode="mmmm\ yyyy"/>
      <alignment horizontal="right" vertical="center" textRotation="0" wrapText="1" indent="0" justifyLastLine="0" shrinkToFit="0" readingOrder="0"/>
    </dxf>
    <dxf>
      <font>
        <b/>
        <i val="0"/>
        <color rgb="FFFF9900"/>
      </font>
    </dxf>
    <dxf>
      <font>
        <b/>
        <i val="0"/>
        <color rgb="FF00CC00"/>
      </font>
    </dxf>
    <dxf>
      <font>
        <b/>
        <i val="0"/>
        <color rgb="FFFF0000"/>
      </font>
    </dxf>
    <dxf>
      <numFmt numFmtId="164" formatCode="#,##0.00\ &quot;€&quot;"/>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vertical="bottom" textRotation="0" wrapText="1" justifyLastLine="0" shrinkToFit="0" readingOrder="0"/>
    </dxf>
    <dxf>
      <numFmt numFmtId="164" formatCode="#,##0.00\ &quot;€&quot;"/>
      <alignment horizontal="general" vertical="bottom" textRotation="0" wrapText="1" indent="0" justifyLastLine="0" shrinkToFit="0" readingOrder="0"/>
    </dxf>
    <dxf>
      <numFmt numFmtId="164" formatCode="#,##0.00\ &quot;€&quot;"/>
      <alignment vertical="bottom" textRotation="0" wrapText="1" justifyLastLine="0" shrinkToFit="0" readingOrder="0"/>
    </dxf>
    <dxf>
      <numFmt numFmtId="164" formatCode="#,##0.00\ &quot;€&quot;"/>
      <alignment horizontal="general" vertical="bottom" textRotation="0" wrapText="1" indent="0"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numFmt numFmtId="164" formatCode="#,##0.00\ &quot;€&quot;"/>
      <alignment horizontal="general" vertical="bottom" textRotation="0" wrapText="1" indent="0" justifyLastLine="0" shrinkToFit="0" readingOrder="0"/>
    </dxf>
    <dxf>
      <numFmt numFmtId="164" formatCode="#,##0.00\ &quot;€&quot;"/>
      <alignment horizontal="general" vertical="bottom" textRotation="0" wrapText="1" indent="0" justifyLastLine="0" shrinkToFit="0" readingOrder="0"/>
    </dxf>
    <dxf>
      <numFmt numFmtId="164" formatCode="#,##0.00\ &quot;€&quot;"/>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4"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4" formatCode="#,##0.00\ &quot;€&quot;"/>
      <alignment horizontal="center"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_ ;[Red]\-0.00\ "/>
      <fill>
        <patternFill patternType="none">
          <fgColor indexed="64"/>
          <bgColor indexed="65"/>
        </patternFill>
      </fill>
    </dxf>
    <dxf>
      <numFmt numFmtId="167"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9" formatCode="\(#,##0.00\);[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8" formatCode="#,##0.00\ _€;[Red]\-#,##0.00\ _€"/>
      <fill>
        <patternFill patternType="none">
          <fgColor indexed="64"/>
          <bgColor auto="1"/>
        </patternFill>
      </fill>
    </dxf>
    <dxf>
      <numFmt numFmtId="0" formatCode="General"/>
      <fill>
        <patternFill patternType="none">
          <fgColor indexed="64"/>
          <bgColor auto="1"/>
        </patternFill>
      </fill>
      <alignment horizontal="general" vertical="bottom" textRotation="0" wrapText="1" indent="0" justifyLastLine="0" shrinkToFit="0" readingOrder="0"/>
    </dxf>
    <dxf>
      <numFmt numFmtId="8" formatCode="#,##0.00\ _€;[Red]\-#,##0.00\ _€"/>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167" formatCode="0.00_ ;[Red]\-0.00\ "/>
      <fill>
        <patternFill patternType="none">
          <fgColor indexed="64"/>
          <bgColor indexed="65"/>
        </patternFill>
      </fill>
      <border diagonalUp="0" diagonalDown="0" outline="0">
        <left/>
        <right/>
        <top/>
        <bottom/>
      </border>
    </dxf>
    <dxf>
      <numFmt numFmtId="167"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7" formatCode="0.00_ ;[Red]\-0.00\ "/>
      <fill>
        <patternFill patternType="none">
          <fgColor indexed="64"/>
          <bgColor indexed="65"/>
        </patternFill>
      </fill>
    </dxf>
    <dxf>
      <numFmt numFmtId="167" formatCode="0.00_ ;[Red]\-0.00\ "/>
      <fill>
        <patternFill patternType="none">
          <fgColor indexed="64"/>
          <bgColor auto="1"/>
        </patternFill>
      </fill>
    </dxf>
    <dxf>
      <numFmt numFmtId="8" formatCode="#,##0.00\ _€;[Red]\-#,##0.00\ _€"/>
      <fill>
        <patternFill patternType="none">
          <fgColor indexed="64"/>
          <bgColor indexed="65"/>
        </patternFill>
      </fill>
    </dxf>
    <dxf>
      <fill>
        <patternFill patternType="none">
          <fgColor indexed="64"/>
          <bgColor auto="1"/>
        </patternFill>
      </fill>
    </dxf>
    <dxf>
      <numFmt numFmtId="8" formatCode="#,##0.00\ _€;[Red]\-#,##0.00\ 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66"/>
      <tableStyleElement type="headerRow" dxfId="265"/>
      <tableStyleElement type="totalRow" dxfId="264"/>
      <tableStyleElement type="lastColumn" dxfId="263"/>
      <tableStyleElement type="firstRowStripe" dxfId="262"/>
    </tableStyle>
    <tableStyle name="Product Price List Slicer" pivot="0" table="0" count="9">
      <tableStyleElement type="wholeTable" dxfId="261"/>
    </tableStyle>
    <tableStyle name="SlicerStyleDark4 2" pivot="0" table="0" count="10">
      <tableStyleElement type="wholeTable" dxfId="260"/>
      <tableStyleElement type="headerRow" dxfId="259"/>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0"/>
          <c:order val="0"/>
          <c:tx>
            <c:strRef>
              <c:f>'Budget Mensuel'!$B$17</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'Budget Mensuel'!$C$17:$D$17</c:f>
              <c:numCache>
                <c:formatCode>General</c:formatCode>
                <c:ptCount val="2"/>
                <c:pt idx="0">
                  <c:v>73850</c:v>
                </c:pt>
                <c:pt idx="1">
                  <c:v>70723</c:v>
                </c:pt>
              </c:numCache>
            </c:numRef>
          </c:val>
        </c:ser>
        <c:ser>
          <c:idx val="1"/>
          <c:order val="1"/>
          <c:tx>
            <c:strRef>
              <c:f>'[1]Budget Mensuel'!$B$7</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'[1]Budget Mensuel'!$C$7:$D$7</c:f>
              <c:numCache>
                <c:formatCode>General</c:formatCode>
                <c:ptCount val="2"/>
                <c:pt idx="0">
                  <c:v>54500</c:v>
                </c:pt>
                <c:pt idx="1">
                  <c:v>49630</c:v>
                </c:pt>
              </c:numCache>
            </c:numRef>
          </c:val>
        </c:ser>
        <c:dLbls>
          <c:showLegendKey val="0"/>
          <c:showVal val="0"/>
          <c:showCatName val="0"/>
          <c:showSerName val="0"/>
          <c:showPercent val="0"/>
          <c:showBubbleSize val="0"/>
        </c:dLbls>
        <c:gapWidth val="150"/>
        <c:overlap val="-3"/>
        <c:axId val="54594560"/>
        <c:axId val="65331968"/>
      </c:barChart>
      <c:catAx>
        <c:axId val="54594560"/>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65331968"/>
        <c:crosses val="autoZero"/>
        <c:auto val="1"/>
        <c:lblAlgn val="ctr"/>
        <c:lblOffset val="100"/>
        <c:noMultiLvlLbl val="0"/>
      </c:catAx>
      <c:valAx>
        <c:axId val="65331968"/>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54594560"/>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dynamique6</c:name>
    <c:fmtId val="0"/>
  </c:pivotSource>
  <c:chart>
    <c:title>
      <c:tx>
        <c:rich>
          <a:bodyPr/>
          <a:lstStyle/>
          <a:p>
            <a:pPr>
              <a:defRPr/>
            </a:pPr>
            <a:r>
              <a:rPr lang="en-US"/>
              <a:t>CA journalier moyen en fonction de la météo</a:t>
            </a:r>
          </a:p>
        </c:rich>
      </c:tx>
      <c:layout/>
      <c:overlay val="0"/>
    </c:title>
    <c:autoTitleDeleted val="0"/>
    <c:pivotFmts>
      <c:pivotFmt>
        <c:idx val="0"/>
      </c:pivotFmt>
      <c:pivotFmt>
        <c:idx val="1"/>
        <c:marker>
          <c:symbol val="none"/>
        </c:marker>
        <c:dLbl>
          <c:idx val="0"/>
          <c:layout/>
          <c:spPr/>
          <c:txPr>
            <a:bodyPr/>
            <a:lstStyle/>
            <a:p>
              <a:pPr>
                <a:defRPr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Feuil1!$B$1</c:f>
              <c:strCache>
                <c:ptCount val="1"/>
                <c:pt idx="0">
                  <c:v>Total</c:v>
                </c:pt>
              </c:strCache>
            </c:strRef>
          </c:tx>
          <c:invertIfNegative val="0"/>
          <c:dLbls>
            <c:spPr/>
            <c:txPr>
              <a:bodyPr/>
              <a:lstStyle/>
              <a:p>
                <a:pPr>
                  <a:defRPr b="1">
                    <a:solidFill>
                      <a:schemeClr val="bg1"/>
                    </a:solidFill>
                  </a:defRPr>
                </a:pPr>
                <a:endParaRPr lang="fr-FR"/>
              </a:p>
            </c:txPr>
            <c:dLblPos val="inEnd"/>
            <c:showLegendKey val="0"/>
            <c:showVal val="1"/>
            <c:showCatName val="0"/>
            <c:showSerName val="0"/>
            <c:showPercent val="0"/>
            <c:showBubbleSize val="0"/>
            <c:showLeaderLines val="0"/>
          </c:dLbls>
          <c:cat>
            <c:strRef>
              <c:f>Feuil1!$A$2:$A$5</c:f>
              <c:strCache>
                <c:ptCount val="3"/>
                <c:pt idx="0">
                  <c:v>1</c:v>
                </c:pt>
                <c:pt idx="1">
                  <c:v>4</c:v>
                </c:pt>
                <c:pt idx="2">
                  <c:v>5</c:v>
                </c:pt>
              </c:strCache>
            </c:strRef>
          </c:cat>
          <c:val>
            <c:numRef>
              <c:f>Feuil1!$B$2:$B$5</c:f>
              <c:numCache>
                <c:formatCode>General</c:formatCode>
                <c:ptCount val="3"/>
                <c:pt idx="0">
                  <c:v>567.12</c:v>
                </c:pt>
                <c:pt idx="1">
                  <c:v>150.69999999999999</c:v>
                </c:pt>
                <c:pt idx="2">
                  <c:v>55.099999999999994</c:v>
                </c:pt>
              </c:numCache>
            </c:numRef>
          </c:val>
        </c:ser>
        <c:dLbls>
          <c:showLegendKey val="0"/>
          <c:showVal val="0"/>
          <c:showCatName val="0"/>
          <c:showSerName val="0"/>
          <c:showPercent val="0"/>
          <c:showBubbleSize val="0"/>
        </c:dLbls>
        <c:gapWidth val="150"/>
        <c:axId val="95866240"/>
        <c:axId val="97318016"/>
      </c:barChart>
      <c:catAx>
        <c:axId val="95866240"/>
        <c:scaling>
          <c:orientation val="minMax"/>
        </c:scaling>
        <c:delete val="0"/>
        <c:axPos val="b"/>
        <c:majorTickMark val="out"/>
        <c:minorTickMark val="none"/>
        <c:tickLblPos val="nextTo"/>
        <c:crossAx val="97318016"/>
        <c:crosses val="autoZero"/>
        <c:auto val="1"/>
        <c:lblAlgn val="ctr"/>
        <c:lblOffset val="100"/>
        <c:noMultiLvlLbl val="0"/>
      </c:catAx>
      <c:valAx>
        <c:axId val="97318016"/>
        <c:scaling>
          <c:orientation val="minMax"/>
        </c:scaling>
        <c:delete val="0"/>
        <c:axPos val="l"/>
        <c:majorGridlines/>
        <c:numFmt formatCode="General" sourceLinked="1"/>
        <c:majorTickMark val="out"/>
        <c:minorTickMark val="none"/>
        <c:tickLblPos val="nextTo"/>
        <c:crossAx val="95866240"/>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3.xlsm]Feuil1!Tableau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layout/>
          <c:dLblPos val="inEnd"/>
          <c:showLegendKey val="0"/>
          <c:showVal val="1"/>
          <c:showCatName val="0"/>
          <c:showSerName val="0"/>
          <c:showPercent val="0"/>
          <c:showBubbleSize val="0"/>
        </c:dLbl>
      </c:pivotFmt>
    </c:pivotFmts>
    <c:plotArea>
      <c:layout/>
      <c:barChart>
        <c:barDir val="bar"/>
        <c:grouping val="clustered"/>
        <c:varyColors val="0"/>
        <c:ser>
          <c:idx val="0"/>
          <c:order val="0"/>
          <c:tx>
            <c:strRef>
              <c:f>Feuil1!$B$13</c:f>
              <c:strCache>
                <c:ptCount val="1"/>
                <c:pt idx="0">
                  <c:v>Total</c:v>
                </c:pt>
              </c:strCache>
            </c:strRef>
          </c:tx>
          <c:invertIfNegative val="0"/>
          <c:dLbls>
            <c:spPr/>
            <c:txPr>
              <a:bodyPr/>
              <a:lstStyle/>
              <a:p>
                <a:pPr>
                  <a:defRPr/>
                </a:pPr>
                <a:endParaRPr lang="fr-FR"/>
              </a:p>
            </c:txPr>
            <c:dLblPos val="inEnd"/>
            <c:showLegendKey val="0"/>
            <c:showVal val="1"/>
            <c:showCatName val="0"/>
            <c:showSerName val="0"/>
            <c:showPercent val="0"/>
            <c:showBubbleSize val="0"/>
            <c:showLeaderLines val="0"/>
          </c:dLbls>
          <c:cat>
            <c:strRef>
              <c:f>Feuil1!$A$14:$A$18</c:f>
              <c:strCache>
                <c:ptCount val="4"/>
                <c:pt idx="0">
                  <c:v>Collier popcorn</c:v>
                </c:pt>
                <c:pt idx="1">
                  <c:v>Dragibus</c:v>
                </c:pt>
                <c:pt idx="2">
                  <c:v>Boucles fashion</c:v>
                </c:pt>
                <c:pt idx="3">
                  <c:v>Ensemble opales</c:v>
                </c:pt>
              </c:strCache>
            </c:strRef>
          </c:cat>
          <c:val>
            <c:numRef>
              <c:f>Feuil1!$B$14:$B$18</c:f>
              <c:numCache>
                <c:formatCode>General</c:formatCode>
                <c:ptCount val="4"/>
                <c:pt idx="0">
                  <c:v>52.5</c:v>
                </c:pt>
                <c:pt idx="1">
                  <c:v>5.2899999999999991</c:v>
                </c:pt>
                <c:pt idx="2">
                  <c:v>10</c:v>
                </c:pt>
                <c:pt idx="3">
                  <c:v>180</c:v>
                </c:pt>
              </c:numCache>
            </c:numRef>
          </c:val>
        </c:ser>
        <c:dLbls>
          <c:showLegendKey val="0"/>
          <c:showVal val="0"/>
          <c:showCatName val="0"/>
          <c:showSerName val="0"/>
          <c:showPercent val="0"/>
          <c:showBubbleSize val="0"/>
        </c:dLbls>
        <c:gapWidth val="150"/>
        <c:axId val="103346560"/>
        <c:axId val="103348480"/>
      </c:barChart>
      <c:catAx>
        <c:axId val="103346560"/>
        <c:scaling>
          <c:orientation val="minMax"/>
        </c:scaling>
        <c:delete val="0"/>
        <c:axPos val="l"/>
        <c:majorTickMark val="out"/>
        <c:minorTickMark val="none"/>
        <c:tickLblPos val="nextTo"/>
        <c:spPr>
          <a:ln>
            <a:noFill/>
          </a:ln>
        </c:spPr>
        <c:crossAx val="103348480"/>
        <c:crosses val="autoZero"/>
        <c:auto val="1"/>
        <c:lblAlgn val="ctr"/>
        <c:lblOffset val="100"/>
        <c:noMultiLvlLbl val="0"/>
      </c:catAx>
      <c:valAx>
        <c:axId val="103348480"/>
        <c:scaling>
          <c:orientation val="minMax"/>
        </c:scaling>
        <c:delete val="1"/>
        <c:axPos val="b"/>
        <c:numFmt formatCode="General" sourceLinked="1"/>
        <c:majorTickMark val="out"/>
        <c:minorTickMark val="none"/>
        <c:tickLblPos val="nextTo"/>
        <c:crossAx val="103346560"/>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3.xlsm]Feuil1!Tableau croisé dynamique9</c:name>
    <c:fmtId val="2"/>
  </c:pivotSource>
  <c:chart>
    <c:title>
      <c:tx>
        <c:rich>
          <a:bodyPr/>
          <a:lstStyle/>
          <a:p>
            <a:pPr>
              <a:defRPr/>
            </a:pPr>
            <a:r>
              <a:rPr lang="en-US"/>
              <a:t>CA par nature d'activité (€)</a:t>
            </a:r>
          </a:p>
        </c:rich>
      </c:tx>
      <c:layout/>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layout/>
          <c:spPr/>
          <c:txPr>
            <a:bodyPr/>
            <a:lstStyle/>
            <a:p>
              <a:pPr>
                <a:defRPr/>
              </a:pPr>
              <a:endParaRPr lang="fr-FR"/>
            </a:p>
          </c:txPr>
          <c:showLegendKey val="0"/>
          <c:showVal val="1"/>
          <c:showCatName val="0"/>
          <c:showSerName val="0"/>
          <c:showPercent val="0"/>
          <c:showBubbleSize val="0"/>
        </c:dLbl>
      </c:pivotFmt>
    </c:pivotFmts>
    <c:plotArea>
      <c:layout/>
      <c:pieChart>
        <c:varyColors val="1"/>
        <c:ser>
          <c:idx val="0"/>
          <c:order val="0"/>
          <c:tx>
            <c:strRef>
              <c:f>Feuil1!$B$25</c:f>
              <c:strCache>
                <c:ptCount val="1"/>
                <c:pt idx="0">
                  <c:v>Total</c:v>
                </c:pt>
              </c:strCache>
            </c:strRef>
          </c:tx>
          <c:dLbls>
            <c:spPr/>
            <c:txPr>
              <a:bodyPr/>
              <a:lstStyle/>
              <a:p>
                <a:pPr>
                  <a:defRPr/>
                </a:pPr>
                <a:endParaRPr lang="fr-FR"/>
              </a:p>
            </c:txPr>
            <c:showLegendKey val="0"/>
            <c:showVal val="1"/>
            <c:showCatName val="0"/>
            <c:showSerName val="0"/>
            <c:showPercent val="0"/>
            <c:showBubbleSize val="0"/>
            <c:showLeaderLines val="1"/>
          </c:dLbls>
          <c:cat>
            <c:strRef>
              <c:f>Feuil1!$A$26:$A$31</c:f>
              <c:strCache>
                <c:ptCount val="5"/>
                <c:pt idx="0">
                  <c:v>Vente Boutique</c:v>
                </c:pt>
                <c:pt idx="1">
                  <c:v>Vente CE</c:v>
                </c:pt>
                <c:pt idx="2">
                  <c:v>Vente Domicile</c:v>
                </c:pt>
                <c:pt idx="3">
                  <c:v>Vente Foire</c:v>
                </c:pt>
                <c:pt idx="4">
                  <c:v>Vente Internet</c:v>
                </c:pt>
              </c:strCache>
            </c:strRef>
          </c:cat>
          <c:val>
            <c:numRef>
              <c:f>Feuil1!$B$26:$B$31</c:f>
              <c:numCache>
                <c:formatCode>General</c:formatCode>
                <c:ptCount val="5"/>
                <c:pt idx="0">
                  <c:v>15.29</c:v>
                </c:pt>
                <c:pt idx="1">
                  <c:v>131</c:v>
                </c:pt>
                <c:pt idx="2">
                  <c:v>70.5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7" Type="http://schemas.openxmlformats.org/officeDocument/2006/relationships/image" Target="../media/image1.png"/><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hyperlink" Target="#'Fiche de caisse'!A1"/><Relationship Id="rId5" Type="http://schemas.openxmlformats.org/officeDocument/2006/relationships/hyperlink" Target="#'Tableau de bord'!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Vue des stocks'!A1"/><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a:hlinkClick xmlns:r="http://schemas.openxmlformats.org/officeDocument/2006/relationships" r:id="rId5"/>
        </xdr:cNvPr>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6"/>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a:hlinkClick xmlns:r="http://schemas.openxmlformats.org/officeDocument/2006/relationships" r:id="rId5"/>
        </xdr:cNvPr>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85725</xdr:rowOff>
    </xdr:to>
    <xdr:sp macro="[0]!Enregistrer_et_quitter" textlink="">
      <xdr:nvSpPr>
        <xdr:cNvPr id="5" name="Rectangle à coins arrondis 4"/>
        <xdr:cNvSpPr/>
      </xdr:nvSpPr>
      <xdr:spPr>
        <a:xfrm>
          <a:off x="9553575" y="17621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76200</xdr:colOff>
      <xdr:row>21</xdr:row>
      <xdr:rowOff>38101</xdr:rowOff>
    </xdr:from>
    <xdr:to>
      <xdr:col>5</xdr:col>
      <xdr:colOff>35719</xdr:colOff>
      <xdr:row>39</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1019175</xdr:colOff>
      <xdr:row>9</xdr:row>
      <xdr:rowOff>123825</xdr:rowOff>
    </xdr:from>
    <xdr:to>
      <xdr:col>2</xdr:col>
      <xdr:colOff>180975</xdr:colOff>
      <xdr:row>12</xdr:row>
      <xdr:rowOff>57150</xdr:rowOff>
    </xdr:to>
    <xdr:sp macro="[0]!AjouterUnPoste" textlink="">
      <xdr:nvSpPr>
        <xdr:cNvPr id="7" name="Rectangle à coins arrondis 6"/>
        <xdr:cNvSpPr/>
      </xdr:nvSpPr>
      <xdr:spPr>
        <a:xfrm>
          <a:off x="1343025" y="1943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885825</xdr:colOff>
      <xdr:row>9</xdr:row>
      <xdr:rowOff>133350</xdr:rowOff>
    </xdr:from>
    <xdr:to>
      <xdr:col>4</xdr:col>
      <xdr:colOff>266700</xdr:colOff>
      <xdr:row>12</xdr:row>
      <xdr:rowOff>66675</xdr:rowOff>
    </xdr:to>
    <xdr:sp macro="[0]!ModifierUnPoste" textlink="">
      <xdr:nvSpPr>
        <xdr:cNvPr id="9" name="Rectangle à coins arrondis 8"/>
        <xdr:cNvSpPr/>
      </xdr:nvSpPr>
      <xdr:spPr>
        <a:xfrm>
          <a:off x="3486150" y="1952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878503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10</xdr:col>
      <xdr:colOff>609600</xdr:colOff>
      <xdr:row>2</xdr:row>
      <xdr:rowOff>57150</xdr:rowOff>
    </xdr:from>
    <xdr:to>
      <xdr:col>12</xdr:col>
      <xdr:colOff>219075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10</xdr:col>
      <xdr:colOff>609600</xdr:colOff>
      <xdr:row>5</xdr:row>
      <xdr:rowOff>161926</xdr:rowOff>
    </xdr:from>
    <xdr:to>
      <xdr:col>12</xdr:col>
      <xdr:colOff>219075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10</xdr:col>
      <xdr:colOff>619125</xdr:colOff>
      <xdr:row>9</xdr:row>
      <xdr:rowOff>47625</xdr:rowOff>
    </xdr:from>
    <xdr:to>
      <xdr:col>12</xdr:col>
      <xdr:colOff>247650</xdr:colOff>
      <xdr:row>12</xdr:row>
      <xdr:rowOff>28575</xdr:rowOff>
    </xdr:to>
    <xdr:sp macro="[0]!Enregistrer_et_quitter" textlink="">
      <xdr:nvSpPr>
        <xdr:cNvPr id="5" name="Rectangle à coins arrondis 4"/>
        <xdr:cNvSpPr/>
      </xdr:nvSpPr>
      <xdr:spPr>
        <a:xfrm>
          <a:off x="9763125" y="1762125"/>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723900</xdr:colOff>
      <xdr:row>29</xdr:row>
      <xdr:rowOff>180975</xdr:rowOff>
    </xdr:to>
    <xdr:grpSp>
      <xdr:nvGrpSpPr>
        <xdr:cNvPr id="15" name="Groupe 14"/>
        <xdr:cNvGrpSpPr/>
      </xdr:nvGrpSpPr>
      <xdr:grpSpPr>
        <a:xfrm>
          <a:off x="266700" y="2105024"/>
          <a:ext cx="6057900" cy="3705226"/>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247648</xdr:colOff>
      <xdr:row>31</xdr:row>
      <xdr:rowOff>9526</xdr:rowOff>
    </xdr:from>
    <xdr:to>
      <xdr:col>6</xdr:col>
      <xdr:colOff>704850</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704849</xdr:colOff>
      <xdr:row>31</xdr:row>
      <xdr:rowOff>9526</xdr:rowOff>
    </xdr:from>
    <xdr:to>
      <xdr:col>12</xdr:col>
      <xdr:colOff>323849</xdr:colOff>
      <xdr:row>36</xdr:row>
      <xdr:rowOff>123826</xdr:rowOff>
    </xdr:to>
    <mc:AlternateContent xmlns:mc="http://schemas.openxmlformats.org/markup-compatibility/2006">
      <mc:Choice xmlns:a14="http://schemas.microsoft.com/office/drawing/2010/main"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dr:sp macro="" textlink="">
          <xdr:nvSpPr>
            <xdr:cNvPr id="0" name=""/>
            <xdr:cNvSpPr>
              <a:spLocks noTextEdit="1"/>
            </xdr:cNvSpPr>
          </xdr:nvSpPr>
          <xdr:spPr>
            <a:xfrm>
              <a:off x="6305549" y="6019801"/>
              <a:ext cx="6276975"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695325</xdr:colOff>
      <xdr:row>58</xdr:row>
      <xdr:rowOff>9524</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704849</xdr:colOff>
      <xdr:row>36</xdr:row>
      <xdr:rowOff>114299</xdr:rowOff>
    </xdr:from>
    <xdr:to>
      <xdr:col>12</xdr:col>
      <xdr:colOff>314325</xdr:colOff>
      <xdr:row>58</xdr:row>
      <xdr:rowOff>9525</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S1034580752"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S103428916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dget Mensuel"/>
    </sheetNames>
    <sheetDataSet>
      <sheetData sheetId="0">
        <row r="5">
          <cell r="C5" t="str">
            <v>ESTIMÉ</v>
          </cell>
        </row>
        <row r="7">
          <cell r="B7" t="str">
            <v>Dépenses</v>
          </cell>
          <cell r="C7">
            <v>54500</v>
          </cell>
          <cell r="D7">
            <v>49630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pport des ventes de produits"/>
      <sheetName val="Données historiques"/>
      <sheetName val="Prix"/>
      <sheetName val="Point Pivot Prix"/>
      <sheetName val="Pivot tendance des ventes"/>
      <sheetName val="TS1034289162"/>
    </sheetNames>
    <definedNames>
      <definedName name="PrixNiveauxDePrix" refersTo="#REF!"/>
      <definedName name="UnitésNiveauxDePrix" refersTo="#REF!"/>
    </definedNames>
    <sheetDataSet>
      <sheetData sheetId="0" refreshError="1"/>
      <sheetData sheetId="1" refreshError="1"/>
      <sheetData sheetId="2" refreshError="1"/>
      <sheetData sheetId="3" refreshError="1"/>
      <sheetData sheetId="4" refreshError="1"/>
      <sheetData sheetId="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0.686918402775" createdVersion="4" refreshedVersion="4" minRefreshableVersion="3" recordCount="6">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3" u="1"/>
        <n v="2" u="1"/>
      </sharedItems>
    </cacheField>
    <cacheField name="Fond de caisse fin de journée" numFmtId="164">
      <sharedItems containsSemiMixedTypes="0" containsString="0" containsNumber="1" minValue="200" maxValue="1251.04"/>
    </cacheField>
    <cacheField name="Nombre de chèques" numFmtId="0">
      <sharedItems containsSemiMixedTypes="0" containsString="0" containsNumber="1" containsInteger="1" minValue="2" maxValue="4"/>
    </cacheField>
    <cacheField name="Total chèques" numFmtId="164">
      <sharedItems containsSemiMixedTypes="0" containsString="0" containsNumber="1" containsInteger="1" minValue="32" maxValue="51"/>
    </cacheField>
    <cacheField name="CA journée" numFmtId="164">
      <sharedItems containsSemiMixedTypes="0" containsString="0" containsNumber="1" minValue="32" maxValue="1102.04"/>
    </cacheField>
    <cacheField name="CA cumulé" numFmtId="164">
      <sharedItems containsSemiMixedTypes="0" containsString="0" containsNumber="1" minValue="32" maxValue="1545.8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0.689278356484" createdVersion="4" refreshedVersion="4" minRefreshableVersion="3" recordCount="10">
  <cacheSource type="worksheet">
    <worksheetSource name="ventes"/>
  </cacheSource>
  <cacheFields count="13">
    <cacheField name="Date" numFmtId="14">
      <sharedItems containsSemiMixedTypes="0" containsNonDate="0" containsDate="1" containsString="0" minDate="2013-01-04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1">
        <s v="Collier popcorn"/>
        <s v="Dragibus"/>
        <s v="Boucles fashion"/>
        <s v="Ensemble opales"/>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4">
      <sharedItems containsSemiMixedTypes="0" containsString="0" containsNumber="1" minValue="0.11" maxValue="40"/>
    </cacheField>
    <cacheField name="Soldes" numFmtId="164">
      <sharedItems containsBlank="1"/>
    </cacheField>
    <cacheField name="Total" numFmtId="164">
      <sharedItems containsSemiMixedTypes="0" containsString="0" containsNumber="1" minValue="2.5299999999999998" maxValue="120"/>
    </cacheField>
    <cacheField name="Mode paiement" numFmtId="164">
      <sharedItems/>
    </cacheField>
    <cacheField name="Commentaires" numFmtId="0">
      <sharedItems containsBlank="1"/>
    </cacheField>
    <cacheField name="Mois" numFmtId="168">
      <sharedItems containsSemiMixedTypes="0" containsNonDate="0" containsDate="1" containsString="0" minDate="1899-12-30T00:00:00" maxDate="2013-05-06T00:00:00" count="13">
        <d v="2013-01-04T00:00:00"/>
        <d v="2013-03-04T00:00:00"/>
        <d v="2013-04-04T00:00:00"/>
        <d v="2013-05-01T00:00:00"/>
        <d v="2013-05-02T00:00:00"/>
        <d v="2013-05-03T00:00:00"/>
        <d v="2013-04-05T00:00:00"/>
        <d v="2013-05-05T00:00:00"/>
        <d v="2012-12-12T00:00:00" u="1"/>
        <d v="2012-11-12T00:00:00" u="1"/>
        <d v="2011-12-03T00:00:00" u="1"/>
        <d v="1899-12-30T00:00:00" u="1"/>
        <d v="2012-12-30T00:00:00" u="1"/>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pivotCacheRecords>
</file>

<file path=xl/pivotCache/pivotCacheRecords2.xml><?xml version="1.0" encoding="utf-8"?>
<pivotCacheRecords xmlns="http://schemas.openxmlformats.org/spreadsheetml/2006/main" xmlns:r="http://schemas.openxmlformats.org/officeDocument/2006/relationships" count="10">
  <r>
    <d v="2013-01-04T00:00:00"/>
    <x v="0"/>
    <x v="0"/>
    <s v="COL001"/>
    <x v="0"/>
    <s v="BALI1"/>
    <n v="1"/>
    <n v="11"/>
    <s v="OUI"/>
    <n v="11"/>
    <s v="Espèces"/>
    <m/>
    <x v="0"/>
  </r>
  <r>
    <d v="2013-03-04T00:00:00"/>
    <x v="1"/>
    <x v="1"/>
    <s v="BON001"/>
    <x v="1"/>
    <s v="W124J"/>
    <n v="23"/>
    <n v="0.12"/>
    <m/>
    <n v="2.76"/>
    <s v="Chèque"/>
    <s v="approximatif"/>
    <x v="1"/>
  </r>
  <r>
    <d v="2013-04-04T00:00:00"/>
    <x v="2"/>
    <x v="0"/>
    <s v="COL001"/>
    <x v="0"/>
    <s v="BALI1"/>
    <n v="1"/>
    <n v="10.5"/>
    <m/>
    <n v="10.5"/>
    <s v="Carte cadeau"/>
    <m/>
    <x v="2"/>
  </r>
  <r>
    <d v="2013-04-04T00:00:00"/>
    <x v="1"/>
    <x v="2"/>
    <s v="BOU002"/>
    <x v="2"/>
    <s v="WAHOU1"/>
    <n v="2"/>
    <n v="2.5"/>
    <m/>
    <n v="5"/>
    <s v="Espèces"/>
    <m/>
    <x v="2"/>
  </r>
  <r>
    <d v="2013-04-04T00:00:00"/>
    <x v="2"/>
    <x v="3"/>
    <s v="PAR001"/>
    <x v="3"/>
    <s v="ZGRH1224"/>
    <n v="2"/>
    <n v="30"/>
    <m/>
    <n v="60"/>
    <s v="Chèque"/>
    <m/>
    <x v="2"/>
  </r>
  <r>
    <d v="2013-05-01T00:00:00"/>
    <x v="1"/>
    <x v="1"/>
    <s v="BON001"/>
    <x v="1"/>
    <s v="W124J"/>
    <n v="23"/>
    <n v="0.11"/>
    <m/>
    <n v="2.5299999999999998"/>
    <s v="Espèces"/>
    <m/>
    <x v="3"/>
  </r>
  <r>
    <d v="2013-05-02T00:00:00"/>
    <x v="1"/>
    <x v="2"/>
    <s v="BOU002"/>
    <x v="2"/>
    <s v="WAHOU1"/>
    <n v="5"/>
    <n v="1"/>
    <s v="OUI"/>
    <n v="5"/>
    <s v="Espèces"/>
    <s v="prix vente groupée"/>
    <x v="4"/>
  </r>
  <r>
    <d v="2013-05-03T00:00:00"/>
    <x v="0"/>
    <x v="3"/>
    <s v="PAR001"/>
    <x v="3"/>
    <s v="ZGRH1224"/>
    <n v="3"/>
    <n v="40"/>
    <m/>
    <n v="120"/>
    <s v="Espèces"/>
    <m/>
    <x v="5"/>
  </r>
  <r>
    <d v="2013-04-05T00:00:00"/>
    <x v="3"/>
    <x v="0"/>
    <s v="COL001"/>
    <x v="0"/>
    <s v="BALI1"/>
    <n v="1"/>
    <n v="10"/>
    <m/>
    <n v="10"/>
    <s v="Carte cadeau"/>
    <m/>
    <x v="6"/>
  </r>
  <r>
    <d v="2013-05-05T00:00:00"/>
    <x v="4"/>
    <x v="0"/>
    <s v="COL001"/>
    <x v="0"/>
    <s v="BALI1"/>
    <n v="2"/>
    <n v="10.5"/>
    <m/>
    <n v="21"/>
    <s v="Chèque"/>
    <m/>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9" cacheId="10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3">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4" showAll="0"/>
    <pivotField showAll="0"/>
    <pivotField dataField="1" numFmtId="164" showAll="0"/>
    <pivotField showAll="0"/>
    <pivotField showAll="0"/>
    <pivotField axis="axisPage" numFmtId="168" showAll="0">
      <items count="14">
        <item m="1" x="11"/>
        <item m="1" x="10"/>
        <item m="1" x="9"/>
        <item m="1" x="8"/>
        <item m="1" x="12"/>
        <item x="0"/>
        <item x="1"/>
        <item x="2"/>
        <item x="6"/>
        <item x="3"/>
        <item x="4"/>
        <item x="5"/>
        <item x="7"/>
        <item t="default"/>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7" cacheId="10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8" firstHeaderRow="1" firstDataRow="1" firstDataCol="1" rowPageCount="2" colPageCount="1"/>
  <pivotFields count="13">
    <pivotField showAll="0"/>
    <pivotField showAll="0"/>
    <pivotField axis="axisPage" multipleItemSelectionAllowed="1" showAll="0">
      <items count="5">
        <item x="1"/>
        <item x="2"/>
        <item x="0"/>
        <item x="3"/>
        <item t="default"/>
      </items>
    </pivotField>
    <pivotField showAll="0"/>
    <pivotField axis="axisRow" showAll="0">
      <items count="12">
        <item m="1" x="8"/>
        <item m="1" x="7"/>
        <item m="1" x="6"/>
        <item m="1" x="5"/>
        <item m="1" x="9"/>
        <item m="1" x="10"/>
        <item m="1" x="4"/>
        <item x="0"/>
        <item x="1"/>
        <item x="2"/>
        <item x="3"/>
        <item t="default"/>
      </items>
    </pivotField>
    <pivotField showAll="0"/>
    <pivotField showAll="0"/>
    <pivotField showAll="0"/>
    <pivotField showAll="0"/>
    <pivotField dataField="1" showAll="0"/>
    <pivotField showAll="0"/>
    <pivotField showAll="0"/>
    <pivotField axis="axisPage" showAll="0">
      <items count="14">
        <item m="1" x="11"/>
        <item m="1" x="10"/>
        <item m="1" x="9"/>
        <item m="1" x="8"/>
        <item m="1" x="12"/>
        <item x="0"/>
        <item x="1"/>
        <item x="2"/>
        <item x="3"/>
        <item x="4"/>
        <item x="5"/>
        <item x="6"/>
        <item x="7"/>
        <item t="default"/>
      </items>
    </pivotField>
  </pivotFields>
  <rowFields count="1">
    <field x="4"/>
  </rowFields>
  <rowItems count="5">
    <i>
      <x v="7"/>
    </i>
    <i>
      <x v="8"/>
    </i>
    <i>
      <x v="9"/>
    </i>
    <i>
      <x v="10"/>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6" cacheId="8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4"/>
        <item m="1" x="3"/>
        <item x="2"/>
        <item x="0"/>
        <item t="default"/>
      </items>
    </pivotField>
    <pivotField numFmtId="164" showAll="0"/>
    <pivotField showAll="0"/>
    <pivotField numFmtId="164" showAll="0"/>
    <pivotField dataField="1" numFmtId="164" showAll="0"/>
    <pivotField numFmtId="164"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s>
  <data>
    <tabular pivotCacheId="4">
      <items count="13">
        <i x="0" s="1"/>
        <i x="1" s="1"/>
        <i x="2" s="1"/>
        <i x="6" s="1"/>
        <i x="3" s="1"/>
        <i x="4" s="1"/>
        <i x="5" s="1"/>
        <i x="7" s="1"/>
        <i x="11" s="1" nd="1"/>
        <i x="10" s="1" nd="1"/>
        <i x="9" s="1" nd="1"/>
        <i x="8" s="1" nd="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6" style="SlicerStyleDark4 2" rowHeight="241300"/>
</slicers>
</file>

<file path=xl/tables/table1.xml><?xml version="1.0" encoding="utf-8"?>
<table xmlns="http://schemas.openxmlformats.org/spreadsheetml/2006/main" id="2" name="CodeCaisse1" displayName="CodeCaisse1" ref="B15:G18" totalsRowShown="0" headerRowDxfId="258" dataDxfId="257">
  <autoFilter ref="B15:G18"/>
  <tableColumns count="6">
    <tableColumn id="13" name="Code caisse" dataDxfId="256"/>
    <tableColumn id="12" name="Référence produit" dataDxfId="255">
      <calculatedColumnFormula>"BON"&amp;TEXT(ROW(B1),"000")</calculatedColumnFormula>
    </tableColumn>
    <tableColumn id="2" name="Désignation" dataDxfId="254"/>
    <tableColumn id="15" name="Fournisseur" dataDxfId="253"/>
    <tableColumn id="3" name="Marque" dataDxfId="252"/>
    <tableColumn id="6" name="Prix de vente" dataDxfId="26"/>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0:G22" totalsRowShown="0" headerRowDxfId="251" dataDxfId="33">
  <autoFilter ref="B20:G22"/>
  <tableColumns count="6">
    <tableColumn id="1" name="Code caisse" dataDxfId="38"/>
    <tableColumn id="2" name="Référence produit" dataDxfId="37">
      <calculatedColumnFormula>"BOU"&amp;TEXT(ROW(B1),"000")</calculatedColumnFormula>
    </tableColumn>
    <tableColumn id="3" name="Désignation" dataDxfId="36"/>
    <tableColumn id="6" name="Fournisseur" dataDxfId="35"/>
    <tableColumn id="4" name="Marque" dataDxfId="34"/>
    <tableColumn id="5" name="Prix de vente" dataDxfId="25"/>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4:G25" totalsRowShown="0" headerRowDxfId="250" dataDxfId="249">
  <autoFilter ref="B24:G25"/>
  <tableColumns count="6">
    <tableColumn id="1" name="Code caisse" dataDxfId="248"/>
    <tableColumn id="2" name="Référence produit" dataDxfId="247">
      <calculatedColumnFormula>"COL"&amp;TEXT(ROW(B1),"000")</calculatedColumnFormula>
    </tableColumn>
    <tableColumn id="3" name="Désignation" dataDxfId="246"/>
    <tableColumn id="6" name="Fournisseur" dataDxfId="245"/>
    <tableColumn id="4" name="Marque" dataDxfId="244"/>
    <tableColumn id="5" name="Prix de vente" dataDxfId="24"/>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7:G28" totalsRowShown="0" headerRowDxfId="243" dataDxfId="27">
  <autoFilter ref="B27:G28"/>
  <tableColumns count="6">
    <tableColumn id="1" name="Code caisse" dataDxfId="32"/>
    <tableColumn id="2" name="Référence produit" dataDxfId="31">
      <calculatedColumnFormula>"PAR"&amp;TEXT(ROW(B1),"000")</calculatedColumnFormula>
    </tableColumn>
    <tableColumn id="3" name="Désignation" dataDxfId="30"/>
    <tableColumn id="6" name="Fournisseur" dataDxfId="29"/>
    <tableColumn id="4" name="Marque" dataDxfId="28"/>
    <tableColumn id="5" name="Prix de vente" dataDxfId="23"/>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0:G31" insertRow="1" totalsRowShown="0" headerRowDxfId="242" dataDxfId="241">
  <autoFilter ref="B30:G31"/>
  <tableColumns count="6">
    <tableColumn id="1" name="Code caisse" dataDxfId="240"/>
    <tableColumn id="2" name="Référence produit" dataDxfId="239">
      <calculatedColumnFormula>"BRA"&amp;TEXT(ROW(B1),"000")</calculatedColumnFormula>
    </tableColumn>
    <tableColumn id="3" name="Désignation" dataDxfId="238"/>
    <tableColumn id="6" name="Fournisseur" dataDxfId="237"/>
    <tableColumn id="4" name="Marque" dataDxfId="236"/>
    <tableColumn id="5" name="Prix de vente" dataDxfId="22"/>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3:G34" insertRow="1" totalsRowShown="0" headerRowDxfId="235" dataDxfId="234">
  <autoFilter ref="B33:G34"/>
  <tableColumns count="6">
    <tableColumn id="1" name="Code caisse" dataDxfId="233"/>
    <tableColumn id="2" name="Référence produit" dataDxfId="232">
      <calculatedColumnFormula>"CLO"&amp;TEXT(ROW(B1),"000")</calculatedColumnFormula>
    </tableColumn>
    <tableColumn id="3" name="Désignation" dataDxfId="231"/>
    <tableColumn id="6" name="Fournisseur" dataDxfId="230"/>
    <tableColumn id="4" name="Marque" dataDxfId="229"/>
    <tableColumn id="5" name="Prix de vente" dataDxfId="21"/>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6:G37" insertRow="1" totalsRowShown="0" headerRowDxfId="228" dataDxfId="227">
  <autoFilter ref="B36:G37"/>
  <tableColumns count="6">
    <tableColumn id="1" name="Code caisse" dataDxfId="226"/>
    <tableColumn id="2" name="Référence produit" dataDxfId="225">
      <calculatedColumnFormula>"PIE"&amp;TEXT(ROW(B1),"000")</calculatedColumnFormula>
    </tableColumn>
    <tableColumn id="3" name="Désignation" dataDxfId="224"/>
    <tableColumn id="6" name="Fournisseur" dataDxfId="223"/>
    <tableColumn id="4" name="Marque" dataDxfId="222"/>
    <tableColumn id="5" name="Prix de vente" dataDxfId="20"/>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39:G40" insertRow="1" totalsRowShown="0" headerRowDxfId="221" dataDxfId="220">
  <autoFilter ref="B39:G40"/>
  <tableColumns count="6">
    <tableColumn id="1" name="Code caisse" dataDxfId="219"/>
    <tableColumn id="2" name="Référence produit" dataDxfId="218">
      <calculatedColumnFormula>"CHE"&amp;TEXT(ROW(B1),"000")</calculatedColumnFormula>
    </tableColumn>
    <tableColumn id="3" name="Désignation" dataDxfId="217"/>
    <tableColumn id="6" name="Fournisseur" dataDxfId="216"/>
    <tableColumn id="4" name="Marque" dataDxfId="215"/>
    <tableColumn id="5" name="Prix de vente" dataDxfId="19"/>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2:G43" insertRow="1" totalsRowShown="0" headerRowDxfId="214" dataDxfId="213">
  <autoFilter ref="B42:G43"/>
  <tableColumns count="6">
    <tableColumn id="1" name="Code caisse" dataDxfId="212"/>
    <tableColumn id="2" name="Référence produit" dataDxfId="211">
      <calculatedColumnFormula>"SAC"&amp;TEXT(ROW(B1),"000")</calculatedColumnFormula>
    </tableColumn>
    <tableColumn id="3" name="Désignation" dataDxfId="210"/>
    <tableColumn id="6" name="Fournisseur" dataDxfId="209"/>
    <tableColumn id="4" name="Marque" dataDxfId="208"/>
    <tableColumn id="5" name="Prix de vente" dataDxfId="18"/>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5:G46" insertRow="1" totalsRowShown="0" headerRowDxfId="207" dataDxfId="206">
  <autoFilter ref="B45:G46"/>
  <tableColumns count="6">
    <tableColumn id="1" name="Code caisse" dataDxfId="205"/>
    <tableColumn id="2" name="Référence produit" dataDxfId="204">
      <calculatedColumnFormula>"VER"&amp;TEXT(ROW(B1),"000")</calculatedColumnFormula>
    </tableColumn>
    <tableColumn id="3" name="Désignation" dataDxfId="203"/>
    <tableColumn id="6" name="Fournisseur" dataDxfId="202"/>
    <tableColumn id="4" name="Marque" dataDxfId="201"/>
    <tableColumn id="5" name="Prix de vente" dataDxfId="17"/>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48:G49" insertRow="1" totalsRowShown="0" headerRowDxfId="200" dataDxfId="199">
  <autoFilter ref="B48:G49"/>
  <tableColumns count="6">
    <tableColumn id="1" name="Code caisse" dataDxfId="198"/>
    <tableColumn id="2" name="Référence produit" dataDxfId="197">
      <calculatedColumnFormula>"ACO"&amp;TEXT(ROW(B1),"000")</calculatedColumnFormula>
    </tableColumn>
    <tableColumn id="3" name="Désignation" dataDxfId="196"/>
    <tableColumn id="6" name="Fournisseur" dataDxfId="195"/>
    <tableColumn id="4" name="Marque" dataDxfId="194"/>
    <tableColumn id="5" name="Prix de vente" dataDxfId="16"/>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1:G52" insertRow="1" totalsRowShown="0" headerRowDxfId="193" dataDxfId="192">
  <autoFilter ref="B51:G52"/>
  <tableColumns count="6">
    <tableColumn id="1" name="Code caisse" dataDxfId="191"/>
    <tableColumn id="2" name="Référence produit" dataDxfId="190">
      <calculatedColumnFormula>"TAT"&amp;TEXT(ROW(B1),"000")</calculatedColumnFormula>
    </tableColumn>
    <tableColumn id="3" name="Désignation" dataDxfId="189"/>
    <tableColumn id="6" name="Fournisseur" dataDxfId="188"/>
    <tableColumn id="4" name="Marque" dataDxfId="187"/>
    <tableColumn id="5" name="Prix de vente" dataDxfId="15"/>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4:G55" insertRow="1" totalsRowShown="0" headerRowDxfId="186" dataDxfId="185">
  <autoFilter ref="B54:G55"/>
  <tableColumns count="6">
    <tableColumn id="1" name="Code caisse" dataDxfId="184"/>
    <tableColumn id="2" name="Référence produit" dataDxfId="183">
      <calculatedColumnFormula>"ACT"&amp;TEXT(ROW(B1),"000")</calculatedColumnFormula>
    </tableColumn>
    <tableColumn id="3" name="Désignation" dataDxfId="182"/>
    <tableColumn id="6" name="Fournisseur" dataDxfId="181"/>
    <tableColumn id="4" name="Marque" dataDxfId="180"/>
    <tableColumn id="5" name="Prix de vente" dataDxfId="14"/>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7:G58" insertRow="1" totalsRowShown="0" headerRowDxfId="179" dataDxfId="178">
  <autoFilter ref="B57:G58"/>
  <tableColumns count="6">
    <tableColumn id="1" name="Code caisse" dataDxfId="177"/>
    <tableColumn id="2" name="Référence produit" dataDxfId="176">
      <calculatedColumnFormula>"CAD"&amp;TEXT(ROW(B1),"000")</calculatedColumnFormula>
    </tableColumn>
    <tableColumn id="3" name="Désignation" dataDxfId="175"/>
    <tableColumn id="6" name="Fournisseur" dataDxfId="174"/>
    <tableColumn id="4" name="Marque" dataDxfId="173"/>
    <tableColumn id="5" name="Prix de vente" dataDxfId="13"/>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0:G61" insertRow="1" totalsRowShown="0" headerRowDxfId="172" dataDxfId="171">
  <autoFilter ref="B60:G61"/>
  <tableColumns count="6">
    <tableColumn id="1" name="Code caisse" dataDxfId="170"/>
    <tableColumn id="2" name="Référence produit" dataDxfId="169">
      <calculatedColumnFormula>"TEL"&amp;TEXT(ROW(B1),"000")</calculatedColumnFormula>
    </tableColumn>
    <tableColumn id="3" name="Désignation" dataDxfId="168"/>
    <tableColumn id="6" name="Fournisseur" dataDxfId="167"/>
    <tableColumn id="4" name="Marque" dataDxfId="166"/>
    <tableColumn id="5" name="Prix de vente" dataDxfId="12"/>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3:G64" insertRow="1" totalsRowShown="0" headerRowDxfId="165" dataDxfId="164">
  <autoFilter ref="B63:G64"/>
  <tableColumns count="6">
    <tableColumn id="1" name="Code caisse" dataDxfId="163"/>
    <tableColumn id="2" name="Référence produit" dataDxfId="162">
      <calculatedColumnFormula>"BAG"&amp;TEXT(ROW(B1),"000")</calculatedColumnFormula>
    </tableColumn>
    <tableColumn id="3" name="Désignation" dataDxfId="161"/>
    <tableColumn id="6" name="Fournisseur" dataDxfId="160"/>
    <tableColumn id="4" name="Marque" dataDxfId="159"/>
    <tableColumn id="5" name="Prix de vente" dataDxfId="11"/>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6:G67" insertRow="1" totalsRowShown="0" headerRowDxfId="158" dataDxfId="157">
  <autoFilter ref="B66:G67"/>
  <tableColumns count="6">
    <tableColumn id="1" name="Code caisse" dataDxfId="156"/>
    <tableColumn id="2" name="Référence produit" dataDxfId="155">
      <calculatedColumnFormula>"ECH"&amp;TEXT(ROW(B1),"000")</calculatedColumnFormula>
    </tableColumn>
    <tableColumn id="3" name="Désignation" dataDxfId="154"/>
    <tableColumn id="6" name="Fournisseur" dataDxfId="153"/>
    <tableColumn id="4" name="Marque" dataDxfId="152"/>
    <tableColumn id="5" name="Prix de vente" dataDxfId="10"/>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69:G70" insertRow="1" totalsRowShown="0" headerRowDxfId="151" dataDxfId="150">
  <autoFilter ref="B69:G70"/>
  <tableColumns count="6">
    <tableColumn id="1" name="Code caisse" dataDxfId="149"/>
    <tableColumn id="2" name="Référence produit" dataDxfId="148">
      <calculatedColumnFormula>"CAR"&amp;TEXT(ROW(B1),"000")</calculatedColumnFormula>
    </tableColumn>
    <tableColumn id="3" name="Désignation" dataDxfId="147"/>
    <tableColumn id="6" name="Fournisseur" dataDxfId="146"/>
    <tableColumn id="4" name="Marque" dataDxfId="145"/>
    <tableColumn id="5" name="Prix de vente" dataDxfId="9"/>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2:G73" insertRow="1" totalsRowShown="0" headerRowDxfId="144" dataDxfId="143">
  <autoFilter ref="B72:G73"/>
  <tableColumns count="6">
    <tableColumn id="1" name="Code caisse" dataDxfId="142"/>
    <tableColumn id="2" name="Référence produit" dataDxfId="141">
      <calculatedColumnFormula>"COS"&amp;TEXT(ROW(B1),"000")</calculatedColumnFormula>
    </tableColumn>
    <tableColumn id="3" name="Désignation" dataDxfId="140"/>
    <tableColumn id="6" name="Fournisseur" dataDxfId="139"/>
    <tableColumn id="4" name="Marque" dataDxfId="138"/>
    <tableColumn id="5" name="Prix de vente" dataDxfId="8"/>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0" totalsRowShown="0" headerRowDxfId="137" dataDxfId="136">
  <autoFilter ref="C16:G20"/>
  <tableColumns count="5">
    <tableColumn id="1" name="Référence" dataDxfId="135">
      <calculatedColumnFormula>"FOUR"&amp;TEXT(ROW(C1),"000")</calculatedColumnFormula>
    </tableColumn>
    <tableColumn id="2" name="Désignation" dataDxfId="134"/>
    <tableColumn id="3" name="Adresse site" dataDxfId="133"/>
    <tableColumn id="4" name="Autre contact" dataDxfId="132"/>
    <tableColumn id="5" name="Commentaires" dataDxfId="131"/>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3" totalsRowShown="0" headerRowDxfId="130" dataDxfId="129">
  <autoFilter ref="B19:J23"/>
  <tableColumns count="9">
    <tableColumn id="1" name="Date" dataDxfId="128"/>
    <tableColumn id="2" name="Code caisse" dataDxfId="127"/>
    <tableColumn id="3" name="Référence produit" dataDxfId="126"/>
    <tableColumn id="4" name="Désignation" dataDxfId="125"/>
    <tableColumn id="9" name="Marque" dataDxfId="124"/>
    <tableColumn id="5" name="Quantité" dataDxfId="123"/>
    <tableColumn id="6" name="Prix d'achat unitaire" dataDxfId="7"/>
    <tableColumn id="7" name="Prix de vente unitaire" dataDxfId="6"/>
    <tableColumn id="8" name="Commentaires" dataDxfId="122"/>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N27" totalsRowShown="0" headerRowDxfId="121" dataDxfId="120">
  <autoFilter ref="B17:N27"/>
  <tableColumns count="13">
    <tableColumn id="1" name="Date" dataDxfId="119"/>
    <tableColumn id="10" name="Nature opération" dataDxfId="118"/>
    <tableColumn id="2" name="Code caisse" dataDxfId="117"/>
    <tableColumn id="3" name="Référence produit" dataDxfId="116"/>
    <tableColumn id="4" name="Désignation" dataDxfId="115"/>
    <tableColumn id="12" name="Marque" dataDxfId="114"/>
    <tableColumn id="5" name="Quantité" dataDxfId="113"/>
    <tableColumn id="9" name="Prix de vente unitaire" dataDxfId="5"/>
    <tableColumn id="11" name="Soldes" dataDxfId="112"/>
    <tableColumn id="6" name="Total" dataDxfId="4">
      <calculatedColumnFormula>ventes[[#This Row],[Quantité]]*ventes[[#This Row],[Prix de vente unitaire]]</calculatedColumnFormula>
    </tableColumn>
    <tableColumn id="7" name="Mode paiement" dataDxfId="111"/>
    <tableColumn id="8" name="Commentaires" dataDxfId="110"/>
    <tableColumn id="13" name="Mois" dataDxfId="0">
      <calculatedColumnFormula>ventes[[#This Row],[Date]]</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109" dataDxfId="108">
  <autoFilter ref="A1:D4"/>
  <tableColumns count="4">
    <tableColumn id="1" name="Colonne1" dataDxfId="107"/>
    <tableColumn id="2" name="Colonne2" dataDxfId="106"/>
    <tableColumn id="3" name="Colonne3" dataDxfId="105"/>
    <tableColumn id="4" name="Colonne4" dataDxfId="104"/>
  </tableColumns>
  <tableStyleInfo name="TableStyleMedium2" showFirstColumn="0" showLastColumn="0" showRowStripes="1" showColumnStripes="0"/>
</table>
</file>

<file path=xl/tables/table24.xml><?xml version="1.0" encoding="utf-8"?>
<table xmlns="http://schemas.openxmlformats.org/spreadsheetml/2006/main" id="27" name="Tableau27" displayName="Tableau27" ref="B17:I18" totalsRowShown="0" headerRowDxfId="103" dataDxfId="102" tableBorderDxfId="101">
  <autoFilter ref="B17:I18"/>
  <tableColumns count="8">
    <tableColumn id="1" name="Code caisse" dataDxfId="100"/>
    <tableColumn id="2" name="Référence produit" dataDxfId="99"/>
    <tableColumn id="3" name="Désignation" dataDxfId="98"/>
    <tableColumn id="9" name="Marque" dataDxfId="97"/>
    <tableColumn id="4" name="Quantité" dataDxfId="96"/>
    <tableColumn id="10" name="Coût d'achat unitaire (PEPS)" dataDxfId="95"/>
    <tableColumn id="5" name="Coût du stock" dataDxfId="94"/>
    <tableColumn id="6" name="Valeur à la vente" dataDxfId="93"/>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1:J43" totalsRowCount="1" headerRowDxfId="92" dataDxfId="91" totalsRowDxfId="90">
  <autoFilter ref="G31:J42"/>
  <sortState ref="G31:K51">
    <sortCondition ref="G16:G37"/>
  </sortState>
  <tableColumns count="4">
    <tableColumn id="1" name="FRAIS D’EXPLOITATION" totalsRowLabel="Total" dataDxfId="89" totalsRowDxfId="88"/>
    <tableColumn id="2" name="ESTIMÉ" totalsRowFunction="sum" dataDxfId="87" totalsRowDxfId="86"/>
    <tableColumn id="3" name="RÉEL" totalsRowFunction="sum" dataDxfId="85" totalsRowDxfId="84"/>
    <tableColumn id="4" name="DIFFÉRENCE" totalsRowFunction="sum" dataDxfId="83" totalsRowDxfId="82">
      <calculatedColumnFormula>FraisExploitation[[#This Row],[ESTIMÉ]]-FraisExploitation[[#This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16:J25" totalsRowCount="1" headerRowDxfId="81" dataDxfId="80" totalsRowDxfId="79">
  <autoFilter ref="G16:J24"/>
  <tableColumns count="4">
    <tableColumn id="1" name="REVENUS" totalsRowLabel="Total" dataDxfId="78" totalsRowDxfId="77"/>
    <tableColumn id="2" name="ESTIMÉ" totalsRowFunction="sum" dataDxfId="76" totalsRowDxfId="75"/>
    <tableColumn id="3" name="RÉEL" totalsRowFunction="sum" dataDxfId="74" totalsRowDxfId="73"/>
    <tableColumn id="4" name="DIFFÉRENCE" totalsRowFunction="sum" dataDxfId="72" totalsRowDxfId="71">
      <calculatedColumnFormula>Revenus[[#This Row],[RÉEL]]-Revenus[[#This Row],[ESTIMÉ]]</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16:E19" totalsRowCount="1">
  <autoFilter ref="B16:E18"/>
  <tableColumns count="4">
    <tableColumn id="1" name="TOTAUX DU BUDGET" totalsRowLabel="Solde (revenus moins dépenses)" dataDxfId="70" totalsRowDxfId="69"/>
    <tableColumn id="2" name="ESTIMÉ" totalsRowFunction="custom" dataDxfId="68" totalsRowDxfId="67">
      <totalsRowFormula>C17-C18</totalsRowFormula>
    </tableColumn>
    <tableColumn id="3" name="RÉEL" totalsRowFunction="custom" dataDxfId="66" totalsRowDxfId="65">
      <totalsRowFormula>D17-D18</totalsRowFormula>
    </tableColumn>
    <tableColumn id="4" name="DIFFÉRENCE" totalsRowFunction="sum" dataDxfId="64" totalsRowDxfId="63">
      <calculatedColumnFormula>TableauTotaux[[#This Row],[RÉEL]]-TableauTotaux[[#This Row],[ESTIMÉ]]</calculatedColumnFormula>
    </tableColumn>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27:J29" totalsRowCount="1" headerRowDxfId="62" dataDxfId="61" totalsRowDxfId="60">
  <autoFilter ref="G27:J28"/>
  <tableColumns count="4">
    <tableColumn id="1" name="CHARGES DE PERSONNEL" totalsRowLabel="Personnel total" dataDxfId="59" totalsRowDxfId="58"/>
    <tableColumn id="2" name="ESTIMÉ" totalsRowFunction="sum" dataDxfId="57" totalsRowDxfId="56"/>
    <tableColumn id="3" name="RÉEL" totalsRowFunction="sum" dataDxfId="55" totalsRowDxfId="54"/>
    <tableColumn id="5" name="DIFFÉRENCE" totalsRowFunction="sum" dataDxfId="53" totalsRowDxfId="52">
      <calculatedColumnFormula>DépensesPersonnelles[[#This Row],[ESTIMÉ]]-DépensesPersonnelles[[#This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51">
  <autoFilter ref="B21:D36"/>
  <tableColumns count="3">
    <tableColumn id="4" name="Nombre" dataDxfId="50"/>
    <tableColumn id="1" name="€" dataDxfId="49"/>
    <tableColumn id="2" name="Total" dataDxfId="48">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H19" totalsRowShown="0" headerRowDxfId="47" dataDxfId="46">
  <autoFilter ref="B13:H19"/>
  <tableColumns count="7">
    <tableColumn id="1" name="Date" dataDxfId="45"/>
    <tableColumn id="2" name="Météo" dataDxfId="44"/>
    <tableColumn id="3" name="Fond de caisse fin de journée" dataDxfId="43"/>
    <tableColumn id="4" name="Nombre de chèques" dataDxfId="42"/>
    <tableColumn id="5" name="Total chèques" dataDxfId="41"/>
    <tableColumn id="6" name="CA journée" dataDxfId="40"/>
    <tableColumn id="7" name="CA cumulé" dataDxfId="39">
      <calculatedColumnFormula>IF(ISERROR(H13+G14),G14,H13+G14)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drawing" Target="../drawings/drawing8.xml"/><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3.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2"/>
  <sheetViews>
    <sheetView showGridLines="0" workbookViewId="0">
      <selection activeCell="A16" sqref="A16"/>
    </sheetView>
  </sheetViews>
  <sheetFormatPr baseColWidth="10" defaultRowHeight="15" x14ac:dyDescent="0.25"/>
  <cols>
    <col min="1" max="1" width="11.42578125" style="7"/>
    <col min="2" max="2" width="21" style="30" bestFit="1" customWidth="1"/>
    <col min="3" max="3" width="22.5703125" style="7" customWidth="1"/>
    <col min="4" max="4" width="34.42578125" style="4" customWidth="1"/>
    <col min="5" max="5" width="15" style="7" bestFit="1" customWidth="1"/>
    <col min="6" max="6" width="18.5703125" style="7" customWidth="1"/>
    <col min="7" max="7" width="15" style="25" bestFit="1" customWidth="1"/>
    <col min="8" max="8" width="11.5703125" style="7" customWidth="1"/>
    <col min="9" max="10" width="12.5703125" style="7" customWidth="1"/>
    <col min="11" max="16384" width="11.42578125" style="7"/>
  </cols>
  <sheetData>
    <row r="7" spans="2:7" ht="23.25" x14ac:dyDescent="0.35">
      <c r="E7" s="70" t="s">
        <v>34</v>
      </c>
      <c r="F7" s="70"/>
      <c r="G7" s="69"/>
    </row>
    <row r="8" spans="2:7" ht="23.25" x14ac:dyDescent="0.35">
      <c r="E8" s="6"/>
    </row>
    <row r="9" spans="2:7" ht="23.25" x14ac:dyDescent="0.35">
      <c r="E9" s="6"/>
    </row>
    <row r="10" spans="2:7" ht="23.25" x14ac:dyDescent="0.35">
      <c r="E10" s="6"/>
    </row>
    <row r="11" spans="2:7" ht="23.25" x14ac:dyDescent="0.35">
      <c r="E11" s="6"/>
    </row>
    <row r="14" spans="2:7" x14ac:dyDescent="0.25">
      <c r="B14" s="31" t="str">
        <f>'Code caisse'!$B$3</f>
        <v>Bonbons</v>
      </c>
      <c r="C14" s="32" t="str">
        <f xml:space="preserve"> "Code caisse :"</f>
        <v>Code caisse :</v>
      </c>
      <c r="D14" s="5">
        <f>'Code caisse'!$A$3</f>
        <v>1</v>
      </c>
    </row>
    <row r="15" spans="2:7" x14ac:dyDescent="0.25">
      <c r="B15" s="30" t="s">
        <v>9</v>
      </c>
      <c r="C15" s="7" t="s">
        <v>0</v>
      </c>
      <c r="D15" s="4" t="s">
        <v>1</v>
      </c>
      <c r="E15" s="7" t="s">
        <v>3</v>
      </c>
      <c r="F15" s="7" t="s">
        <v>8</v>
      </c>
      <c r="G15" s="25" t="s">
        <v>2</v>
      </c>
    </row>
    <row r="16" spans="2:7" x14ac:dyDescent="0.25">
      <c r="B16" s="30">
        <v>1</v>
      </c>
      <c r="C16" s="7" t="str">
        <f>"BON"&amp;TEXT(ROW(B1),"000")</f>
        <v>BON001</v>
      </c>
      <c r="D16" s="4" t="s">
        <v>120</v>
      </c>
      <c r="E16" s="7" t="s">
        <v>121</v>
      </c>
      <c r="F16" s="7" t="s">
        <v>122</v>
      </c>
      <c r="G16" s="25">
        <v>0.12</v>
      </c>
    </row>
    <row r="17" spans="2:7" x14ac:dyDescent="0.25">
      <c r="B17" s="30">
        <v>1</v>
      </c>
      <c r="C17" s="7" t="str">
        <f>"BON"&amp;TEXT(ROW(B2),"000")</f>
        <v>BON002</v>
      </c>
      <c r="D17" s="4" t="s">
        <v>123</v>
      </c>
      <c r="E17" s="7" t="s">
        <v>121</v>
      </c>
      <c r="F17" s="7" t="s">
        <v>124</v>
      </c>
      <c r="G17" s="25">
        <v>0.15</v>
      </c>
    </row>
    <row r="18" spans="2:7" x14ac:dyDescent="0.25">
      <c r="B18" s="30">
        <v>1</v>
      </c>
      <c r="C18" s="7" t="str">
        <f>"BON"&amp;TEXT(ROW(B3),"000")</f>
        <v>BON003</v>
      </c>
      <c r="D18" s="4" t="s">
        <v>125</v>
      </c>
      <c r="E18" s="7" t="s">
        <v>126</v>
      </c>
      <c r="F18" s="7" t="s">
        <v>127</v>
      </c>
      <c r="G18" s="25">
        <v>0.12</v>
      </c>
    </row>
    <row r="19" spans="2:7" x14ac:dyDescent="0.25">
      <c r="B19" s="31" t="str">
        <f>'Code caisse'!$B$4</f>
        <v>Boucles d'oreilles</v>
      </c>
      <c r="C19" s="32" t="str">
        <f xml:space="preserve"> "Code caisse :"</f>
        <v>Code caisse :</v>
      </c>
      <c r="D19" s="5">
        <f>'Code caisse'!$A$4</f>
        <v>2</v>
      </c>
    </row>
    <row r="20" spans="2:7" x14ac:dyDescent="0.25">
      <c r="B20" s="30" t="s">
        <v>9</v>
      </c>
      <c r="C20" s="7" t="s">
        <v>0</v>
      </c>
      <c r="D20" s="4" t="s">
        <v>1</v>
      </c>
      <c r="E20" s="7" t="s">
        <v>3</v>
      </c>
      <c r="F20" s="7" t="s">
        <v>8</v>
      </c>
      <c r="G20" s="25" t="s">
        <v>2</v>
      </c>
    </row>
    <row r="21" spans="2:7" x14ac:dyDescent="0.25">
      <c r="B21" s="30">
        <v>2</v>
      </c>
      <c r="C21" s="4" t="str">
        <f>"BOU"&amp;TEXT(ROW(B1),"000")</f>
        <v>BOU001</v>
      </c>
      <c r="D21" s="4" t="s">
        <v>128</v>
      </c>
      <c r="E21" s="7" t="s">
        <v>129</v>
      </c>
      <c r="F21" s="7" t="s">
        <v>130</v>
      </c>
      <c r="G21" s="25">
        <v>12</v>
      </c>
    </row>
    <row r="22" spans="2:7" x14ac:dyDescent="0.25">
      <c r="B22" s="30">
        <v>2</v>
      </c>
      <c r="C22" s="4" t="str">
        <f>"BOU"&amp;TEXT(ROW(B2),"000")</f>
        <v>BOU002</v>
      </c>
      <c r="D22" s="4" t="s">
        <v>131</v>
      </c>
      <c r="E22" s="7" t="s">
        <v>129</v>
      </c>
      <c r="F22" s="7" t="s">
        <v>132</v>
      </c>
      <c r="G22" s="25">
        <v>2.2999999999999998</v>
      </c>
    </row>
    <row r="23" spans="2:7" x14ac:dyDescent="0.25">
      <c r="B23" s="31" t="str">
        <f>'Code caisse'!$B$5</f>
        <v>Colliers</v>
      </c>
      <c r="C23" s="32" t="str">
        <f xml:space="preserve"> "Code caisse :"</f>
        <v>Code caisse :</v>
      </c>
      <c r="D23" s="5">
        <f>'Code caisse'!$A$5</f>
        <v>3</v>
      </c>
    </row>
    <row r="24" spans="2:7" x14ac:dyDescent="0.25">
      <c r="B24" s="30" t="s">
        <v>9</v>
      </c>
      <c r="C24" s="7" t="s">
        <v>0</v>
      </c>
      <c r="D24" s="4" t="s">
        <v>1</v>
      </c>
      <c r="E24" s="7" t="s">
        <v>3</v>
      </c>
      <c r="F24" s="7" t="s">
        <v>8</v>
      </c>
      <c r="G24" s="25" t="s">
        <v>2</v>
      </c>
    </row>
    <row r="25" spans="2:7" x14ac:dyDescent="0.25">
      <c r="B25" s="30">
        <v>3</v>
      </c>
      <c r="C25" s="4" t="str">
        <f>"COL"&amp;TEXT(ROW(B1),"000")</f>
        <v>COL001</v>
      </c>
      <c r="D25" s="4" t="s">
        <v>133</v>
      </c>
      <c r="E25" s="7" t="s">
        <v>129</v>
      </c>
      <c r="F25" s="7" t="s">
        <v>134</v>
      </c>
      <c r="G25" s="25">
        <v>10.5</v>
      </c>
    </row>
    <row r="26" spans="2:7" x14ac:dyDescent="0.25">
      <c r="B26" s="31" t="str">
        <f>'Code caisse'!$B$6</f>
        <v>Parrures</v>
      </c>
      <c r="C26" s="32" t="str">
        <f xml:space="preserve"> "Code caisse :"</f>
        <v>Code caisse :</v>
      </c>
      <c r="D26" s="5">
        <f>'Code caisse'!$A$6</f>
        <v>4</v>
      </c>
    </row>
    <row r="27" spans="2:7" x14ac:dyDescent="0.25">
      <c r="B27" s="30" t="s">
        <v>9</v>
      </c>
      <c r="C27" s="7" t="s">
        <v>0</v>
      </c>
      <c r="D27" s="4" t="s">
        <v>1</v>
      </c>
      <c r="E27" s="7" t="s">
        <v>3</v>
      </c>
      <c r="F27" s="7" t="s">
        <v>8</v>
      </c>
      <c r="G27" s="25" t="s">
        <v>2</v>
      </c>
    </row>
    <row r="28" spans="2:7" x14ac:dyDescent="0.25">
      <c r="B28" s="30">
        <v>4</v>
      </c>
      <c r="C28" s="4" t="str">
        <f>"PAR"&amp;TEXT(ROW(B1),"000")</f>
        <v>PAR001</v>
      </c>
      <c r="D28" s="4" t="s">
        <v>135</v>
      </c>
      <c r="E28" s="7" t="s">
        <v>129</v>
      </c>
      <c r="F28" s="7" t="s">
        <v>136</v>
      </c>
      <c r="G28" s="25">
        <v>40</v>
      </c>
    </row>
    <row r="29" spans="2:7" x14ac:dyDescent="0.25">
      <c r="B29" s="31" t="str">
        <f>'Code caisse'!$B$7</f>
        <v>Bracelets</v>
      </c>
      <c r="C29" s="32" t="str">
        <f xml:space="preserve"> "Code caisse :"</f>
        <v>Code caisse :</v>
      </c>
      <c r="D29" s="5">
        <f>'Code caisse'!$A$7</f>
        <v>5</v>
      </c>
    </row>
    <row r="30" spans="2:7" x14ac:dyDescent="0.25">
      <c r="B30" s="30" t="s">
        <v>9</v>
      </c>
      <c r="C30" s="7" t="s">
        <v>0</v>
      </c>
      <c r="D30" s="4" t="s">
        <v>1</v>
      </c>
      <c r="E30" s="7" t="s">
        <v>3</v>
      </c>
      <c r="F30" s="7" t="s">
        <v>8</v>
      </c>
      <c r="G30" s="25" t="s">
        <v>2</v>
      </c>
    </row>
    <row r="31" spans="2:7" x14ac:dyDescent="0.25">
      <c r="C31" s="4"/>
    </row>
    <row r="32" spans="2:7" x14ac:dyDescent="0.25">
      <c r="B32" s="31" t="str">
        <f>'Code caisse'!$B$8</f>
        <v>Clous d'oreilles</v>
      </c>
      <c r="C32" s="32" t="str">
        <f xml:space="preserve"> "Code caisse :"</f>
        <v>Code caisse :</v>
      </c>
      <c r="D32" s="5">
        <f>'Code caisse'!$A$8</f>
        <v>6</v>
      </c>
    </row>
    <row r="33" spans="2:7" x14ac:dyDescent="0.25">
      <c r="B33" s="30" t="s">
        <v>9</v>
      </c>
      <c r="C33" s="7" t="s">
        <v>0</v>
      </c>
      <c r="D33" s="4" t="s">
        <v>1</v>
      </c>
      <c r="E33" s="7" t="s">
        <v>3</v>
      </c>
      <c r="F33" s="7" t="s">
        <v>8</v>
      </c>
      <c r="G33" s="25" t="s">
        <v>2</v>
      </c>
    </row>
    <row r="35" spans="2:7" x14ac:dyDescent="0.25">
      <c r="B35" s="31" t="str">
        <f>'Code caisse'!$B$9</f>
        <v>Piercings</v>
      </c>
      <c r="C35" s="32" t="str">
        <f xml:space="preserve"> "Code caisse :"</f>
        <v>Code caisse :</v>
      </c>
      <c r="D35" s="5">
        <f>'Code caisse'!$A$9</f>
        <v>7</v>
      </c>
    </row>
    <row r="36" spans="2:7" x14ac:dyDescent="0.25">
      <c r="B36" s="30" t="s">
        <v>9</v>
      </c>
      <c r="C36" s="7" t="s">
        <v>0</v>
      </c>
      <c r="D36" s="4" t="s">
        <v>1</v>
      </c>
      <c r="E36" s="7" t="s">
        <v>3</v>
      </c>
      <c r="F36" s="7" t="s">
        <v>8</v>
      </c>
      <c r="G36" s="25" t="s">
        <v>2</v>
      </c>
    </row>
    <row r="38" spans="2:7" x14ac:dyDescent="0.25">
      <c r="B38" s="31" t="str">
        <f>'Code caisse'!$B$10</f>
        <v>Chainettes chevilles</v>
      </c>
      <c r="C38" s="32" t="str">
        <f xml:space="preserve"> "Code caisse :"</f>
        <v>Code caisse :</v>
      </c>
      <c r="D38" s="5">
        <f>'Code caisse'!$A$10</f>
        <v>8</v>
      </c>
    </row>
    <row r="39" spans="2:7" x14ac:dyDescent="0.25">
      <c r="B39" s="30" t="s">
        <v>9</v>
      </c>
      <c r="C39" s="7" t="s">
        <v>0</v>
      </c>
      <c r="D39" s="4" t="s">
        <v>1</v>
      </c>
      <c r="E39" s="7" t="s">
        <v>3</v>
      </c>
      <c r="F39" s="7" t="s">
        <v>8</v>
      </c>
      <c r="G39" s="25" t="s">
        <v>2</v>
      </c>
    </row>
    <row r="41" spans="2:7" x14ac:dyDescent="0.25">
      <c r="B41" s="31" t="str">
        <f>'Code caisse'!$B$11</f>
        <v>Bijoux de sac</v>
      </c>
      <c r="C41" s="32" t="str">
        <f xml:space="preserve"> "Code caisse :"</f>
        <v>Code caisse :</v>
      </c>
      <c r="D41" s="5">
        <f>'Code caisse'!$A$11</f>
        <v>9</v>
      </c>
    </row>
    <row r="42" spans="2:7" x14ac:dyDescent="0.25">
      <c r="B42" s="30" t="s">
        <v>9</v>
      </c>
      <c r="C42" s="7" t="s">
        <v>0</v>
      </c>
      <c r="D42" s="4" t="s">
        <v>1</v>
      </c>
      <c r="E42" s="7" t="s">
        <v>3</v>
      </c>
      <c r="F42" s="7" t="s">
        <v>8</v>
      </c>
      <c r="G42" s="25" t="s">
        <v>2</v>
      </c>
    </row>
    <row r="44" spans="2:7" x14ac:dyDescent="0.25">
      <c r="B44" s="31" t="str">
        <f>'Code caisse'!$B$12</f>
        <v>Vernis</v>
      </c>
      <c r="C44" s="32" t="str">
        <f xml:space="preserve"> "Code caisse :"</f>
        <v>Code caisse :</v>
      </c>
      <c r="D44" s="5">
        <f>'Code caisse'!$A$12</f>
        <v>10</v>
      </c>
    </row>
    <row r="45" spans="2:7" x14ac:dyDescent="0.25">
      <c r="B45" s="30" t="s">
        <v>9</v>
      </c>
      <c r="C45" s="7" t="s">
        <v>0</v>
      </c>
      <c r="D45" s="4" t="s">
        <v>1</v>
      </c>
      <c r="E45" s="7" t="s">
        <v>3</v>
      </c>
      <c r="F45" s="7" t="s">
        <v>8</v>
      </c>
      <c r="G45" s="25" t="s">
        <v>2</v>
      </c>
    </row>
    <row r="47" spans="2:7" x14ac:dyDescent="0.25">
      <c r="B47" s="31" t="str">
        <f>'Code caisse'!$B$13</f>
        <v>Accessoires Ongles</v>
      </c>
      <c r="C47" s="32" t="str">
        <f xml:space="preserve"> "Code caisse :"</f>
        <v>Code caisse :</v>
      </c>
      <c r="D47" s="5">
        <f>'Code caisse'!$A$13</f>
        <v>11</v>
      </c>
    </row>
    <row r="48" spans="2:7" x14ac:dyDescent="0.25">
      <c r="B48" s="30" t="s">
        <v>9</v>
      </c>
      <c r="C48" s="7" t="s">
        <v>0</v>
      </c>
      <c r="D48" s="4" t="s">
        <v>1</v>
      </c>
      <c r="E48" s="7" t="s">
        <v>3</v>
      </c>
      <c r="F48" s="7" t="s">
        <v>8</v>
      </c>
      <c r="G48" s="25" t="s">
        <v>2</v>
      </c>
    </row>
    <row r="50" spans="2:7" x14ac:dyDescent="0.25">
      <c r="B50" s="31" t="str">
        <f>'Code caisse'!$B$14</f>
        <v xml:space="preserve">Tatoos </v>
      </c>
      <c r="C50" s="32" t="str">
        <f xml:space="preserve"> "Code caisse :"</f>
        <v>Code caisse :</v>
      </c>
      <c r="D50" s="5">
        <f>'Code caisse'!$A$14</f>
        <v>12</v>
      </c>
    </row>
    <row r="51" spans="2:7" x14ac:dyDescent="0.25">
      <c r="B51" s="30" t="s">
        <v>9</v>
      </c>
      <c r="C51" s="7" t="s">
        <v>0</v>
      </c>
      <c r="D51" s="4" t="s">
        <v>1</v>
      </c>
      <c r="E51" s="7" t="s">
        <v>3</v>
      </c>
      <c r="F51" s="7" t="s">
        <v>8</v>
      </c>
      <c r="G51" s="25" t="s">
        <v>2</v>
      </c>
    </row>
    <row r="53" spans="2:7" x14ac:dyDescent="0.25">
      <c r="B53" s="31" t="str">
        <f>'Code caisse'!$B$15</f>
        <v>Accessoires Tatoos</v>
      </c>
      <c r="C53" s="32" t="str">
        <f xml:space="preserve"> "Code caisse :"</f>
        <v>Code caisse :</v>
      </c>
      <c r="D53" s="5">
        <f>'Code caisse'!$A$15</f>
        <v>13</v>
      </c>
    </row>
    <row r="54" spans="2:7" x14ac:dyDescent="0.25">
      <c r="B54" s="30" t="s">
        <v>9</v>
      </c>
      <c r="C54" s="7" t="s">
        <v>0</v>
      </c>
      <c r="D54" s="4" t="s">
        <v>1</v>
      </c>
      <c r="E54" s="7" t="s">
        <v>3</v>
      </c>
      <c r="F54" s="7" t="s">
        <v>8</v>
      </c>
      <c r="G54" s="25" t="s">
        <v>2</v>
      </c>
    </row>
    <row r="56" spans="2:7" x14ac:dyDescent="0.25">
      <c r="B56" s="31" t="str">
        <f>'Code caisse'!$B$16</f>
        <v>Cadeaux</v>
      </c>
      <c r="C56" s="32" t="str">
        <f xml:space="preserve"> "Code caisse :"</f>
        <v>Code caisse :</v>
      </c>
      <c r="D56" s="5">
        <f>'Code caisse'!$A$16</f>
        <v>14</v>
      </c>
    </row>
    <row r="57" spans="2:7" x14ac:dyDescent="0.25">
      <c r="B57" s="30" t="s">
        <v>9</v>
      </c>
      <c r="C57" s="7" t="s">
        <v>0</v>
      </c>
      <c r="D57" s="4" t="s">
        <v>1</v>
      </c>
      <c r="E57" s="7" t="s">
        <v>3</v>
      </c>
      <c r="F57" s="7" t="s">
        <v>8</v>
      </c>
      <c r="G57" s="25" t="s">
        <v>2</v>
      </c>
    </row>
    <row r="59" spans="2:7" x14ac:dyDescent="0.25">
      <c r="B59" s="31" t="str">
        <f>'Code caisse'!$B$17</f>
        <v>Coques de téléphones</v>
      </c>
      <c r="C59" s="32" t="str">
        <f xml:space="preserve"> "Code caisse :"</f>
        <v>Code caisse :</v>
      </c>
      <c r="D59" s="5">
        <f>'Code caisse'!$A$17</f>
        <v>15</v>
      </c>
    </row>
    <row r="60" spans="2:7" x14ac:dyDescent="0.25">
      <c r="B60" s="30" t="s">
        <v>9</v>
      </c>
      <c r="C60" s="7" t="s">
        <v>0</v>
      </c>
      <c r="D60" s="4" t="s">
        <v>1</v>
      </c>
      <c r="E60" s="7" t="s">
        <v>3</v>
      </c>
      <c r="F60" s="7" t="s">
        <v>8</v>
      </c>
      <c r="G60" s="25" t="s">
        <v>2</v>
      </c>
    </row>
    <row r="62" spans="2:7" x14ac:dyDescent="0.25">
      <c r="B62" s="31" t="str">
        <f>'Code caisse'!$B$18</f>
        <v>Bagues</v>
      </c>
      <c r="C62" s="32" t="str">
        <f xml:space="preserve"> "Code caisse :"</f>
        <v>Code caisse :</v>
      </c>
      <c r="D62" s="5">
        <f>'Code caisse'!$A$18</f>
        <v>16</v>
      </c>
    </row>
    <row r="63" spans="2:7" x14ac:dyDescent="0.25">
      <c r="B63" s="30" t="s">
        <v>9</v>
      </c>
      <c r="C63" s="7" t="s">
        <v>0</v>
      </c>
      <c r="D63" s="4" t="s">
        <v>1</v>
      </c>
      <c r="E63" s="7" t="s">
        <v>3</v>
      </c>
      <c r="F63" s="7" t="s">
        <v>8</v>
      </c>
      <c r="G63" s="25" t="s">
        <v>2</v>
      </c>
    </row>
    <row r="65" spans="2:7" x14ac:dyDescent="0.25">
      <c r="B65" s="31" t="str">
        <f>'Code caisse'!$B$19</f>
        <v>Echarpes bijoux</v>
      </c>
      <c r="C65" s="32" t="str">
        <f xml:space="preserve"> "Code caisse :"</f>
        <v>Code caisse :</v>
      </c>
      <c r="D65" s="5">
        <f>'Code caisse'!$A$19</f>
        <v>17</v>
      </c>
    </row>
    <row r="66" spans="2:7" x14ac:dyDescent="0.25">
      <c r="B66" s="30" t="s">
        <v>9</v>
      </c>
      <c r="C66" s="7" t="s">
        <v>0</v>
      </c>
      <c r="D66" s="4" t="s">
        <v>1</v>
      </c>
      <c r="E66" s="7" t="s">
        <v>3</v>
      </c>
      <c r="F66" s="7" t="s">
        <v>8</v>
      </c>
      <c r="G66" s="25" t="s">
        <v>2</v>
      </c>
    </row>
    <row r="68" spans="2:7" x14ac:dyDescent="0.25">
      <c r="B68" s="31" t="str">
        <f>'Code caisse'!$B$20</f>
        <v>Cartes cadeaux</v>
      </c>
      <c r="C68" s="32" t="str">
        <f xml:space="preserve"> "Code caisse :"</f>
        <v>Code caisse :</v>
      </c>
      <c r="D68" s="5">
        <f>'Code caisse'!$A$20</f>
        <v>18</v>
      </c>
    </row>
    <row r="69" spans="2:7" x14ac:dyDescent="0.25">
      <c r="B69" s="30" t="s">
        <v>9</v>
      </c>
      <c r="C69" s="7" t="s">
        <v>0</v>
      </c>
      <c r="D69" s="4" t="s">
        <v>1</v>
      </c>
      <c r="E69" s="7" t="s">
        <v>3</v>
      </c>
      <c r="F69" s="7" t="s">
        <v>8</v>
      </c>
      <c r="G69" s="25" t="s">
        <v>2</v>
      </c>
    </row>
    <row r="71" spans="2:7" x14ac:dyDescent="0.25">
      <c r="B71" s="31" t="str">
        <f>'Code caisse'!$B$21</f>
        <v>Cosmétiques</v>
      </c>
      <c r="C71" s="32" t="str">
        <f xml:space="preserve"> "Code caisse :"</f>
        <v>Code caisse :</v>
      </c>
      <c r="D71" s="5">
        <f>'Code caisse'!$A$21</f>
        <v>19</v>
      </c>
    </row>
    <row r="72" spans="2:7" x14ac:dyDescent="0.25">
      <c r="B72" s="30" t="s">
        <v>9</v>
      </c>
      <c r="C72" s="7" t="s">
        <v>0</v>
      </c>
      <c r="D72" s="4" t="s">
        <v>1</v>
      </c>
      <c r="E72" s="7" t="s">
        <v>3</v>
      </c>
      <c r="F72" s="7" t="s">
        <v>8</v>
      </c>
      <c r="G72" s="25" t="s">
        <v>2</v>
      </c>
    </row>
  </sheetData>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0"/>
  <sheetViews>
    <sheetView showGridLines="0" workbookViewId="0">
      <selection activeCell="A17" sqref="A17"/>
    </sheetView>
  </sheetViews>
  <sheetFormatPr baseColWidth="10" defaultRowHeight="15" x14ac:dyDescent="0.25"/>
  <cols>
    <col min="1" max="2" width="11.42578125" style="7"/>
    <col min="3" max="3" width="12.7109375" style="7" customWidth="1"/>
    <col min="4" max="4" width="25.85546875" style="7" customWidth="1"/>
    <col min="5" max="5" width="35" style="7" customWidth="1"/>
    <col min="6" max="6" width="27.5703125" style="7" customWidth="1"/>
    <col min="7" max="7" width="32.140625" style="7" customWidth="1"/>
    <col min="8" max="10" width="11.5703125" style="7" customWidth="1"/>
    <col min="11" max="16384" width="11.42578125" style="7"/>
  </cols>
  <sheetData>
    <row r="1" spans="3:7" x14ac:dyDescent="0.25">
      <c r="D1" s="7" t="s">
        <v>73</v>
      </c>
      <c r="E1" s="7" t="s">
        <v>74</v>
      </c>
      <c r="F1" s="7" t="s">
        <v>73</v>
      </c>
    </row>
    <row r="8" spans="3:7" ht="23.25" x14ac:dyDescent="0.25">
      <c r="F8" s="71" t="s">
        <v>31</v>
      </c>
      <c r="G8" s="71"/>
    </row>
    <row r="16" spans="3:7" x14ac:dyDescent="0.25">
      <c r="C16" s="7" t="s">
        <v>5</v>
      </c>
      <c r="D16" s="7" t="s">
        <v>1</v>
      </c>
      <c r="E16" s="7" t="s">
        <v>32</v>
      </c>
      <c r="F16" s="7" t="s">
        <v>33</v>
      </c>
      <c r="G16" s="7" t="s">
        <v>52</v>
      </c>
    </row>
    <row r="17" spans="3:7" x14ac:dyDescent="0.25">
      <c r="C17" s="4" t="str">
        <f>"FOUR"&amp;TEXT(ROW(C1),"000")</f>
        <v>FOUR001</v>
      </c>
      <c r="D17" s="7" t="s">
        <v>126</v>
      </c>
      <c r="E17" s="7" t="s">
        <v>137</v>
      </c>
      <c r="F17" s="7">
        <v>102030405</v>
      </c>
      <c r="G17" s="7" t="s">
        <v>138</v>
      </c>
    </row>
    <row r="18" spans="3:7" x14ac:dyDescent="0.25">
      <c r="C18" s="4" t="str">
        <f>"FOUR"&amp;TEXT(ROW(C2),"000")</f>
        <v>FOUR002</v>
      </c>
      <c r="D18" s="7" t="s">
        <v>129</v>
      </c>
      <c r="F18" s="7" t="s">
        <v>139</v>
      </c>
      <c r="G18" s="7" t="s">
        <v>140</v>
      </c>
    </row>
    <row r="19" spans="3:7" x14ac:dyDescent="0.25">
      <c r="C19" s="4" t="str">
        <f>"FOUR"&amp;TEXT(ROW(C3),"000")</f>
        <v>FOUR003</v>
      </c>
      <c r="D19" s="7" t="s">
        <v>141</v>
      </c>
      <c r="E19" s="7" t="s">
        <v>142</v>
      </c>
      <c r="G19" s="7" t="s">
        <v>143</v>
      </c>
    </row>
    <row r="20" spans="3:7" x14ac:dyDescent="0.25">
      <c r="C20" s="4" t="str">
        <f>"FOUR"&amp;TEXT(ROW(C4),"000")</f>
        <v>FOUR004</v>
      </c>
      <c r="D20" s="7" t="s">
        <v>121</v>
      </c>
      <c r="F20" s="7">
        <v>789163728</v>
      </c>
      <c r="G20" s="7" t="s">
        <v>144</v>
      </c>
    </row>
  </sheetData>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72"/>
      <c r="J2" s="72"/>
      <c r="K2" s="72"/>
      <c r="L2" s="72"/>
    </row>
    <row r="3" spans="5:12" x14ac:dyDescent="0.25">
      <c r="I3" s="72"/>
      <c r="J3" s="72"/>
      <c r="K3" s="72"/>
      <c r="L3" s="72"/>
    </row>
    <row r="8" spans="5:12" ht="23.25" x14ac:dyDescent="0.35">
      <c r="F8" s="2" t="s">
        <v>40</v>
      </c>
    </row>
    <row r="12" spans="5:12" x14ac:dyDescent="0.25">
      <c r="E12" s="1"/>
    </row>
  </sheetData>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3"/>
  <sheetViews>
    <sheetView showGridLines="0" topLeftCell="A7" workbookViewId="0">
      <selection activeCell="H21" sqref="H21"/>
    </sheetView>
  </sheetViews>
  <sheetFormatPr baseColWidth="10" defaultRowHeight="15" x14ac:dyDescent="0.25"/>
  <cols>
    <col min="2" max="2" width="11.5703125" style="33" customWidth="1"/>
    <col min="3" max="3" width="10.5703125" style="20" customWidth="1"/>
    <col min="4" max="4" width="11.85546875" style="7" customWidth="1"/>
    <col min="5" max="5" width="39.140625" style="7" customWidth="1"/>
    <col min="6" max="6" width="17.7109375" style="7" customWidth="1"/>
    <col min="7" max="7" width="13.42578125" style="25" bestFit="1" customWidth="1"/>
    <col min="8" max="8" width="14.42578125" style="25" customWidth="1"/>
    <col min="9" max="9" width="13.85546875" style="25" customWidth="1"/>
    <col min="10" max="10" width="37" customWidth="1"/>
  </cols>
  <sheetData>
    <row r="9" spans="6:7" ht="23.25" customHeight="1" x14ac:dyDescent="0.35">
      <c r="F9" s="73" t="s">
        <v>48</v>
      </c>
      <c r="G9" s="73"/>
    </row>
    <row r="19" spans="2:10" ht="30" x14ac:dyDescent="0.25">
      <c r="B19" s="34" t="s">
        <v>7</v>
      </c>
      <c r="C19" s="20" t="s">
        <v>9</v>
      </c>
      <c r="D19" s="20" t="s">
        <v>0</v>
      </c>
      <c r="E19" s="20" t="s">
        <v>1</v>
      </c>
      <c r="F19" s="20" t="s">
        <v>8</v>
      </c>
      <c r="G19" s="20" t="s">
        <v>6</v>
      </c>
      <c r="H19" s="23" t="s">
        <v>51</v>
      </c>
      <c r="I19" s="23" t="s">
        <v>53</v>
      </c>
      <c r="J19" s="20" t="s">
        <v>52</v>
      </c>
    </row>
    <row r="20" spans="2:10" x14ac:dyDescent="0.25">
      <c r="B20" s="22">
        <v>41365</v>
      </c>
      <c r="C20" s="20">
        <v>1</v>
      </c>
      <c r="D20" s="21" t="s">
        <v>145</v>
      </c>
      <c r="E20" s="21" t="s">
        <v>120</v>
      </c>
      <c r="F20" s="21" t="s">
        <v>122</v>
      </c>
      <c r="G20" s="21">
        <v>200</v>
      </c>
      <c r="H20" s="24">
        <v>0.08</v>
      </c>
      <c r="I20" s="24">
        <v>0.11</v>
      </c>
      <c r="J20" s="21" t="s">
        <v>146</v>
      </c>
    </row>
    <row r="21" spans="2:10" x14ac:dyDescent="0.25">
      <c r="B21" s="22">
        <v>41365</v>
      </c>
      <c r="C21" s="20">
        <v>2</v>
      </c>
      <c r="D21" s="21" t="s">
        <v>54</v>
      </c>
      <c r="E21" s="21" t="s">
        <v>128</v>
      </c>
      <c r="F21" s="21" t="s">
        <v>130</v>
      </c>
      <c r="G21" s="21">
        <v>5</v>
      </c>
      <c r="H21" s="24">
        <v>3</v>
      </c>
      <c r="I21" s="24">
        <v>12</v>
      </c>
      <c r="J21" s="21" t="s">
        <v>147</v>
      </c>
    </row>
    <row r="22" spans="2:10" x14ac:dyDescent="0.25">
      <c r="B22" s="22">
        <v>41365</v>
      </c>
      <c r="C22" s="20">
        <v>3</v>
      </c>
      <c r="D22" s="21" t="s">
        <v>55</v>
      </c>
      <c r="E22" s="21" t="s">
        <v>133</v>
      </c>
      <c r="F22" s="21" t="s">
        <v>134</v>
      </c>
      <c r="G22" s="21">
        <v>1</v>
      </c>
      <c r="H22" s="24">
        <v>1</v>
      </c>
      <c r="I22" s="24">
        <v>10.5</v>
      </c>
      <c r="J22" s="21" t="s">
        <v>148</v>
      </c>
    </row>
    <row r="23" spans="2:10" x14ac:dyDescent="0.25">
      <c r="B23" s="22">
        <v>41366</v>
      </c>
      <c r="C23" s="20">
        <v>1</v>
      </c>
      <c r="D23" s="21" t="s">
        <v>145</v>
      </c>
      <c r="E23" s="21" t="s">
        <v>120</v>
      </c>
      <c r="F23" s="21" t="s">
        <v>122</v>
      </c>
      <c r="G23" s="21">
        <v>3</v>
      </c>
      <c r="H23" s="24">
        <v>7.0000000000000007E-2</v>
      </c>
      <c r="I23" s="24">
        <v>0.11</v>
      </c>
      <c r="J23" s="21"/>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N27"/>
  <sheetViews>
    <sheetView showGridLines="0" workbookViewId="0">
      <selection activeCell="N18" sqref="N18:N27"/>
    </sheetView>
  </sheetViews>
  <sheetFormatPr baseColWidth="10" defaultRowHeight="15" x14ac:dyDescent="0.25"/>
  <cols>
    <col min="1" max="1" width="11.42578125" style="7"/>
    <col min="2" max="2" width="12.5703125" style="7" customWidth="1"/>
    <col min="3" max="3" width="18.28515625" style="20" customWidth="1"/>
    <col min="4" max="4" width="10.85546875" style="20" customWidth="1"/>
    <col min="5" max="5" width="12.42578125" style="7" customWidth="1"/>
    <col min="6" max="6" width="37.7109375" style="7" customWidth="1"/>
    <col min="7" max="7" width="12.7109375" style="7" customWidth="1"/>
    <col min="8" max="8" width="12.5703125" style="7" bestFit="1" customWidth="1"/>
    <col min="9" max="9" width="13" style="25" customWidth="1"/>
    <col min="10" max="10" width="10.140625" style="7" customWidth="1"/>
    <col min="11" max="11" width="14.28515625" style="25" customWidth="1"/>
    <col min="12" max="12" width="19.85546875" style="7" bestFit="1" customWidth="1"/>
    <col min="13" max="13" width="26.7109375" style="7" customWidth="1"/>
    <col min="14" max="14" width="14.5703125" style="66" bestFit="1" customWidth="1"/>
    <col min="15" max="16384" width="11.42578125" style="7"/>
  </cols>
  <sheetData>
    <row r="8" spans="7:9" ht="23.25" x14ac:dyDescent="0.35">
      <c r="G8" s="74" t="s">
        <v>49</v>
      </c>
      <c r="H8" s="74"/>
      <c r="I8" s="74"/>
    </row>
    <row r="17" spans="2:14" ht="30" x14ac:dyDescent="0.25">
      <c r="B17" s="20" t="s">
        <v>7</v>
      </c>
      <c r="C17" s="20" t="s">
        <v>57</v>
      </c>
      <c r="D17" s="20" t="s">
        <v>9</v>
      </c>
      <c r="E17" s="20" t="s">
        <v>0</v>
      </c>
      <c r="F17" s="20" t="s">
        <v>1</v>
      </c>
      <c r="G17" s="20" t="s">
        <v>8</v>
      </c>
      <c r="H17" s="20" t="s">
        <v>6</v>
      </c>
      <c r="I17" s="23" t="s">
        <v>53</v>
      </c>
      <c r="J17" s="23" t="s">
        <v>58</v>
      </c>
      <c r="K17" s="23" t="s">
        <v>4</v>
      </c>
      <c r="L17" s="23" t="s">
        <v>56</v>
      </c>
      <c r="M17" s="20" t="s">
        <v>52</v>
      </c>
      <c r="N17" s="67" t="s">
        <v>119</v>
      </c>
    </row>
    <row r="18" spans="2:14" x14ac:dyDescent="0.25">
      <c r="B18" s="22">
        <v>41278</v>
      </c>
      <c r="C18" s="20" t="s">
        <v>66</v>
      </c>
      <c r="D18" s="20">
        <v>3</v>
      </c>
      <c r="E18" s="21" t="s">
        <v>55</v>
      </c>
      <c r="F18" s="21" t="s">
        <v>133</v>
      </c>
      <c r="G18" s="21" t="s">
        <v>134</v>
      </c>
      <c r="H18" s="21">
        <v>1</v>
      </c>
      <c r="I18" s="24">
        <v>11</v>
      </c>
      <c r="J18" s="24" t="s">
        <v>60</v>
      </c>
      <c r="K18" s="24">
        <f>ventes[[#This Row],[Quantité]]*ventes[[#This Row],[Prix de vente unitaire]]</f>
        <v>11</v>
      </c>
      <c r="L18" s="24" t="s">
        <v>61</v>
      </c>
      <c r="M18" s="21"/>
      <c r="N18" s="68">
        <f>ventes[[#This Row],[Date]]</f>
        <v>41278</v>
      </c>
    </row>
    <row r="19" spans="2:14" x14ac:dyDescent="0.25">
      <c r="B19" s="22">
        <v>41337</v>
      </c>
      <c r="C19" s="20" t="s">
        <v>59</v>
      </c>
      <c r="D19" s="20">
        <v>1</v>
      </c>
      <c r="E19" s="21" t="s">
        <v>145</v>
      </c>
      <c r="F19" s="21" t="s">
        <v>120</v>
      </c>
      <c r="G19" s="21" t="s">
        <v>122</v>
      </c>
      <c r="H19" s="21">
        <v>23</v>
      </c>
      <c r="I19" s="24">
        <v>0.12</v>
      </c>
      <c r="J19" s="24"/>
      <c r="K19" s="24">
        <f>ventes[[#This Row],[Quantité]]*ventes[[#This Row],[Prix de vente unitaire]]</f>
        <v>2.76</v>
      </c>
      <c r="L19" s="24" t="s">
        <v>67</v>
      </c>
      <c r="M19" s="21" t="s">
        <v>149</v>
      </c>
      <c r="N19" s="68">
        <f>ventes[[#This Row],[Date]]</f>
        <v>41337</v>
      </c>
    </row>
    <row r="20" spans="2:14" x14ac:dyDescent="0.25">
      <c r="B20" s="22">
        <v>41368</v>
      </c>
      <c r="C20" s="20" t="s">
        <v>150</v>
      </c>
      <c r="D20" s="20">
        <v>3</v>
      </c>
      <c r="E20" s="21" t="s">
        <v>55</v>
      </c>
      <c r="F20" s="21" t="s">
        <v>133</v>
      </c>
      <c r="G20" s="21" t="s">
        <v>134</v>
      </c>
      <c r="H20" s="21">
        <v>1</v>
      </c>
      <c r="I20" s="24">
        <v>10.5</v>
      </c>
      <c r="J20" s="24"/>
      <c r="K20" s="24">
        <f>ventes[[#This Row],[Quantité]]*ventes[[#This Row],[Prix de vente unitaire]]</f>
        <v>10.5</v>
      </c>
      <c r="L20" s="24" t="s">
        <v>62</v>
      </c>
      <c r="M20" s="21"/>
      <c r="N20" s="68">
        <f>ventes[[#This Row],[Date]]</f>
        <v>41368</v>
      </c>
    </row>
    <row r="21" spans="2:14" x14ac:dyDescent="0.25">
      <c r="B21" s="22">
        <v>41368</v>
      </c>
      <c r="C21" s="20" t="s">
        <v>59</v>
      </c>
      <c r="D21" s="20">
        <v>2</v>
      </c>
      <c r="E21" s="21" t="s">
        <v>65</v>
      </c>
      <c r="F21" s="21" t="s">
        <v>131</v>
      </c>
      <c r="G21" s="21" t="s">
        <v>132</v>
      </c>
      <c r="H21" s="21">
        <v>2</v>
      </c>
      <c r="I21" s="24">
        <v>2.5</v>
      </c>
      <c r="J21" s="24"/>
      <c r="K21" s="24">
        <f>ventes[[#This Row],[Quantité]]*ventes[[#This Row],[Prix de vente unitaire]]</f>
        <v>5</v>
      </c>
      <c r="L21" s="24" t="s">
        <v>61</v>
      </c>
      <c r="M21" s="21"/>
      <c r="N21" s="68">
        <f>ventes[[#This Row],[Date]]</f>
        <v>41368</v>
      </c>
    </row>
    <row r="22" spans="2:14" x14ac:dyDescent="0.25">
      <c r="B22" s="22">
        <v>41368</v>
      </c>
      <c r="C22" s="20" t="s">
        <v>150</v>
      </c>
      <c r="D22" s="20">
        <v>4</v>
      </c>
      <c r="E22" s="21" t="s">
        <v>151</v>
      </c>
      <c r="F22" s="21" t="s">
        <v>135</v>
      </c>
      <c r="G22" s="21" t="s">
        <v>136</v>
      </c>
      <c r="H22" s="21">
        <v>2</v>
      </c>
      <c r="I22" s="24">
        <v>30</v>
      </c>
      <c r="J22" s="24"/>
      <c r="K22" s="24">
        <f>ventes[[#This Row],[Quantité]]*ventes[[#This Row],[Prix de vente unitaire]]</f>
        <v>60</v>
      </c>
      <c r="L22" s="24" t="s">
        <v>67</v>
      </c>
      <c r="M22" s="21"/>
      <c r="N22" s="68">
        <f>ventes[[#This Row],[Date]]</f>
        <v>41368</v>
      </c>
    </row>
    <row r="23" spans="2:14" x14ac:dyDescent="0.25">
      <c r="B23" s="22">
        <v>41395</v>
      </c>
      <c r="C23" s="20" t="s">
        <v>59</v>
      </c>
      <c r="D23" s="20">
        <v>1</v>
      </c>
      <c r="E23" s="21" t="s">
        <v>145</v>
      </c>
      <c r="F23" s="21" t="s">
        <v>120</v>
      </c>
      <c r="G23" s="21" t="s">
        <v>122</v>
      </c>
      <c r="H23" s="21">
        <v>23</v>
      </c>
      <c r="I23" s="24">
        <v>0.11</v>
      </c>
      <c r="J23" s="24"/>
      <c r="K23" s="24">
        <f>ventes[[#This Row],[Quantité]]*ventes[[#This Row],[Prix de vente unitaire]]</f>
        <v>2.5299999999999998</v>
      </c>
      <c r="L23" s="24" t="s">
        <v>61</v>
      </c>
      <c r="M23" s="21"/>
      <c r="N23" s="68">
        <f>ventes[[#This Row],[Date]]</f>
        <v>41395</v>
      </c>
    </row>
    <row r="24" spans="2:14" x14ac:dyDescent="0.25">
      <c r="B24" s="22">
        <v>41396</v>
      </c>
      <c r="C24" s="20" t="s">
        <v>59</v>
      </c>
      <c r="D24" s="20">
        <v>2</v>
      </c>
      <c r="E24" s="21" t="s">
        <v>65</v>
      </c>
      <c r="F24" s="21" t="s">
        <v>131</v>
      </c>
      <c r="G24" s="21" t="s">
        <v>132</v>
      </c>
      <c r="H24" s="21">
        <v>5</v>
      </c>
      <c r="I24" s="24">
        <v>1</v>
      </c>
      <c r="J24" s="24" t="s">
        <v>60</v>
      </c>
      <c r="K24" s="24">
        <f>ventes[[#This Row],[Quantité]]*ventes[[#This Row],[Prix de vente unitaire]]</f>
        <v>5</v>
      </c>
      <c r="L24" s="24" t="s">
        <v>61</v>
      </c>
      <c r="M24" s="21" t="s">
        <v>152</v>
      </c>
      <c r="N24" s="68">
        <f>ventes[[#This Row],[Date]]</f>
        <v>41396</v>
      </c>
    </row>
    <row r="25" spans="2:14" x14ac:dyDescent="0.25">
      <c r="B25" s="22">
        <v>41397</v>
      </c>
      <c r="C25" s="20" t="s">
        <v>66</v>
      </c>
      <c r="D25" s="20">
        <v>4</v>
      </c>
      <c r="E25" s="21" t="s">
        <v>151</v>
      </c>
      <c r="F25" s="21" t="s">
        <v>135</v>
      </c>
      <c r="G25" s="21" t="s">
        <v>136</v>
      </c>
      <c r="H25" s="21">
        <v>3</v>
      </c>
      <c r="I25" s="24">
        <v>40</v>
      </c>
      <c r="J25" s="24"/>
      <c r="K25" s="24">
        <f>ventes[[#This Row],[Quantité]]*ventes[[#This Row],[Prix de vente unitaire]]</f>
        <v>120</v>
      </c>
      <c r="L25" s="24" t="s">
        <v>61</v>
      </c>
      <c r="M25" s="21"/>
      <c r="N25" s="68">
        <f>ventes[[#This Row],[Date]]</f>
        <v>41397</v>
      </c>
    </row>
    <row r="26" spans="2:14" x14ac:dyDescent="0.25">
      <c r="B26" s="22">
        <v>41369</v>
      </c>
      <c r="C26" s="20" t="s">
        <v>75</v>
      </c>
      <c r="D26" s="20">
        <v>3</v>
      </c>
      <c r="E26" s="21" t="s">
        <v>55</v>
      </c>
      <c r="F26" s="21" t="s">
        <v>133</v>
      </c>
      <c r="G26" s="21" t="s">
        <v>134</v>
      </c>
      <c r="H26" s="21">
        <v>1</v>
      </c>
      <c r="I26" s="24">
        <v>10</v>
      </c>
      <c r="J26" s="24"/>
      <c r="K26" s="24">
        <f>ventes[[#This Row],[Quantité]]*ventes[[#This Row],[Prix de vente unitaire]]</f>
        <v>10</v>
      </c>
      <c r="L26" s="24" t="s">
        <v>62</v>
      </c>
      <c r="M26" s="21"/>
      <c r="N26" s="68">
        <f>ventes[[#This Row],[Date]]</f>
        <v>41369</v>
      </c>
    </row>
    <row r="27" spans="2:14" x14ac:dyDescent="0.25">
      <c r="B27" s="22">
        <v>41399</v>
      </c>
      <c r="C27" s="20" t="s">
        <v>153</v>
      </c>
      <c r="D27" s="20">
        <v>3</v>
      </c>
      <c r="E27" s="21" t="s">
        <v>55</v>
      </c>
      <c r="F27" s="21" t="s">
        <v>133</v>
      </c>
      <c r="G27" s="21" t="s">
        <v>134</v>
      </c>
      <c r="H27" s="21">
        <v>2</v>
      </c>
      <c r="I27" s="24">
        <v>10.5</v>
      </c>
      <c r="J27" s="24"/>
      <c r="K27" s="24">
        <f>ventes[[#This Row],[Quantité]]*ventes[[#This Row],[Prix de vente unitaire]]</f>
        <v>21</v>
      </c>
      <c r="L27" s="24" t="s">
        <v>67</v>
      </c>
      <c r="M27" s="21"/>
      <c r="N27" s="68">
        <f>ventes[[#This Row],[Date]]</f>
        <v>41399</v>
      </c>
    </row>
  </sheetData>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18"/>
  <sheetViews>
    <sheetView showGridLines="0" workbookViewId="0"/>
  </sheetViews>
  <sheetFormatPr baseColWidth="10" defaultRowHeight="15" x14ac:dyDescent="0.25"/>
  <cols>
    <col min="1" max="1" width="11.5703125" style="7" customWidth="1"/>
    <col min="2" max="2" width="10.7109375" style="7" customWidth="1"/>
    <col min="3" max="3" width="15.5703125" style="7" customWidth="1"/>
    <col min="4" max="4" width="38" style="7" customWidth="1"/>
    <col min="5" max="5" width="13" style="7" bestFit="1" customWidth="1"/>
    <col min="6" max="6" width="13.42578125" style="7" bestFit="1" customWidth="1"/>
    <col min="7" max="7" width="16.85546875" style="25" customWidth="1"/>
    <col min="8" max="8" width="16.140625" style="25" customWidth="1"/>
    <col min="9" max="9" width="15.42578125" style="25" customWidth="1"/>
    <col min="10" max="16384" width="11.42578125" style="7"/>
  </cols>
  <sheetData>
    <row r="1" spans="1:9" x14ac:dyDescent="0.25">
      <c r="A1" s="7" t="s">
        <v>68</v>
      </c>
      <c r="B1" s="7" t="s">
        <v>69</v>
      </c>
      <c r="C1" s="7" t="s">
        <v>70</v>
      </c>
      <c r="D1" s="7" t="s">
        <v>71</v>
      </c>
    </row>
    <row r="8" spans="1:9" ht="23.25" customHeight="1" x14ac:dyDescent="0.35">
      <c r="F8" s="74" t="s">
        <v>50</v>
      </c>
      <c r="G8" s="74"/>
    </row>
    <row r="16" spans="1:9" x14ac:dyDescent="0.25">
      <c r="G16" s="7"/>
      <c r="H16" s="7"/>
      <c r="I16" s="7"/>
    </row>
    <row r="17" spans="2:9" s="20" customFormat="1" ht="30" x14ac:dyDescent="0.25">
      <c r="B17" s="27" t="s">
        <v>9</v>
      </c>
      <c r="C17" s="27" t="s">
        <v>0</v>
      </c>
      <c r="D17" s="27" t="s">
        <v>1</v>
      </c>
      <c r="E17" s="27" t="s">
        <v>8</v>
      </c>
      <c r="F17" s="27" t="s">
        <v>6</v>
      </c>
      <c r="G17" s="27" t="s">
        <v>72</v>
      </c>
      <c r="H17" s="27" t="s">
        <v>63</v>
      </c>
      <c r="I17" s="28" t="s">
        <v>64</v>
      </c>
    </row>
    <row r="18" spans="2:9" x14ac:dyDescent="0.25">
      <c r="B18" s="26"/>
      <c r="C18" s="26"/>
      <c r="D18" s="26"/>
      <c r="E18" s="26"/>
      <c r="F18" s="26"/>
      <c r="G18" s="26"/>
      <c r="H18" s="26"/>
      <c r="I18" s="29"/>
    </row>
  </sheetData>
  <mergeCells count="1">
    <mergeCell ref="F8:G8"/>
  </mergeCells>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8:L52"/>
  <sheetViews>
    <sheetView showGridLines="0" workbookViewId="0"/>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1" bestFit="1" customWidth="1"/>
    <col min="9" max="9" width="13.85546875" customWidth="1"/>
    <col min="10" max="10" width="30" style="53" bestFit="1" customWidth="1"/>
    <col min="11" max="11" width="15.28515625" bestFit="1" customWidth="1"/>
  </cols>
  <sheetData>
    <row r="8" spans="1:12" ht="23.25" x14ac:dyDescent="0.35">
      <c r="F8" s="2" t="s">
        <v>41</v>
      </c>
    </row>
    <row r="15" spans="1:12" x14ac:dyDescent="0.25">
      <c r="A15" s="35"/>
      <c r="B15" s="35"/>
      <c r="C15" s="35"/>
      <c r="D15" s="35"/>
      <c r="E15" s="35"/>
      <c r="F15" s="35"/>
      <c r="G15" s="35"/>
      <c r="H15" s="35"/>
      <c r="I15" s="35"/>
      <c r="J15" s="54"/>
      <c r="K15" s="35"/>
      <c r="L15" s="35"/>
    </row>
    <row r="16" spans="1:12" x14ac:dyDescent="0.25">
      <c r="A16" s="47"/>
      <c r="B16" s="30" t="s">
        <v>76</v>
      </c>
      <c r="C16" s="7" t="s">
        <v>77</v>
      </c>
      <c r="D16" s="4" t="s">
        <v>78</v>
      </c>
      <c r="E16" s="7" t="s">
        <v>79</v>
      </c>
      <c r="F16" s="25"/>
      <c r="G16" s="36" t="s">
        <v>80</v>
      </c>
      <c r="H16" s="37" t="s">
        <v>77</v>
      </c>
      <c r="I16" s="37" t="s">
        <v>78</v>
      </c>
      <c r="J16" s="55" t="s">
        <v>79</v>
      </c>
      <c r="K16" s="47"/>
    </row>
    <row r="17" spans="1:12" x14ac:dyDescent="0.25">
      <c r="A17" s="35"/>
      <c r="B17" s="30" t="s">
        <v>81</v>
      </c>
      <c r="C17" s="7">
        <f>Revenus[[#Totals],[ESTIMÉ]]</f>
        <v>73850</v>
      </c>
      <c r="D17" s="4">
        <f>Revenus[[#Totals],[RÉEL]]</f>
        <v>70723</v>
      </c>
      <c r="E17" s="7">
        <f>TableauTotaux[[#This Row],[RÉEL]]-TableauTotaux[[#This Row],[ESTIMÉ]]</f>
        <v>-3127</v>
      </c>
      <c r="F17" s="25"/>
      <c r="G17" s="38" t="s">
        <v>82</v>
      </c>
      <c r="H17" s="39">
        <v>60000</v>
      </c>
      <c r="I17" s="39">
        <v>54000</v>
      </c>
      <c r="J17" s="56">
        <f>Revenus[[#This Row],[RÉEL]]-Revenus[[#This Row],[ESTIMÉ]]</f>
        <v>-6000</v>
      </c>
      <c r="K17" s="35"/>
    </row>
    <row r="18" spans="1:12" x14ac:dyDescent="0.25">
      <c r="A18" s="35"/>
      <c r="B18" s="30" t="s">
        <v>83</v>
      </c>
      <c r="C18" s="7">
        <f>FraisExploitation[[#Totals],[ESTIMÉ]]+DépensesPersonnelles[[#Totals],[ESTIMÉ]]</f>
        <v>10600</v>
      </c>
      <c r="D18" s="4">
        <f>FraisExploitation[[#Totals],[RÉEL]]+DépensesPersonnelles[[#Totals],[RÉEL]]</f>
        <v>10800</v>
      </c>
      <c r="E18" s="7">
        <f>TableauTotaux[[#This Row],[ESTIMÉ]]-TableauTotaux[[#This Row],[RÉEL]]</f>
        <v>-200</v>
      </c>
      <c r="F18" s="25"/>
      <c r="G18" s="38" t="s">
        <v>84</v>
      </c>
      <c r="H18" s="39">
        <v>3000</v>
      </c>
      <c r="I18" s="39">
        <v>3000</v>
      </c>
      <c r="J18" s="56">
        <f>Revenus[[#This Row],[RÉEL]]-Revenus[[#This Row],[ESTIMÉ]]</f>
        <v>0</v>
      </c>
      <c r="K18" s="35"/>
    </row>
    <row r="19" spans="1:12" x14ac:dyDescent="0.25">
      <c r="A19" s="35"/>
      <c r="B19" s="30" t="s">
        <v>85</v>
      </c>
      <c r="C19" s="7">
        <f>C17-C18</f>
        <v>63250</v>
      </c>
      <c r="D19" s="4">
        <f>D17-D18</f>
        <v>59923</v>
      </c>
      <c r="E19" s="7">
        <f>SUBTOTAL(109,TableauTotaux[DIFFÉRENCE])</f>
        <v>-3327</v>
      </c>
      <c r="F19" s="25"/>
      <c r="G19" s="38" t="s">
        <v>86</v>
      </c>
      <c r="H19" s="39">
        <v>300</v>
      </c>
      <c r="I19" s="39">
        <v>450</v>
      </c>
      <c r="J19" s="56">
        <f>Revenus[[#This Row],[RÉEL]]-Revenus[[#This Row],[ESTIMÉ]]</f>
        <v>150</v>
      </c>
      <c r="K19" s="35"/>
    </row>
    <row r="20" spans="1:12" x14ac:dyDescent="0.25">
      <c r="A20" s="35"/>
      <c r="B20" s="38"/>
      <c r="C20" s="40"/>
      <c r="D20" s="40"/>
      <c r="E20" s="39"/>
      <c r="F20" s="35"/>
      <c r="G20" s="38" t="s">
        <v>101</v>
      </c>
      <c r="H20" s="39">
        <v>10000</v>
      </c>
      <c r="I20" s="39">
        <v>1000</v>
      </c>
      <c r="J20" s="56">
        <f>Revenus[[#This Row],[RÉEL]]-Revenus[[#This Row],[ESTIMÉ]]</f>
        <v>-9000</v>
      </c>
      <c r="K20" s="35"/>
    </row>
    <row r="21" spans="1:12" x14ac:dyDescent="0.25">
      <c r="A21" s="35"/>
      <c r="B21" s="35"/>
      <c r="C21" s="35"/>
      <c r="D21" s="35"/>
      <c r="E21" s="35"/>
      <c r="F21" s="35"/>
      <c r="G21" s="38" t="s">
        <v>103</v>
      </c>
      <c r="H21" s="39">
        <v>100</v>
      </c>
      <c r="I21" s="39">
        <v>12222</v>
      </c>
      <c r="J21" s="56">
        <f>Revenus[[#This Row],[RÉEL]]-Revenus[[#This Row],[ESTIMÉ]]</f>
        <v>12122</v>
      </c>
      <c r="K21" s="52"/>
      <c r="L21" s="35"/>
    </row>
    <row r="22" spans="1:12" x14ac:dyDescent="0.25">
      <c r="A22" s="35"/>
      <c r="B22" s="35"/>
      <c r="C22" s="35"/>
      <c r="D22" s="35"/>
      <c r="E22" s="35"/>
      <c r="F22" s="35"/>
      <c r="G22" s="38" t="s">
        <v>104</v>
      </c>
      <c r="H22" s="39">
        <v>100</v>
      </c>
      <c r="I22" s="39">
        <v>1</v>
      </c>
      <c r="J22" s="56">
        <f>Revenus[[#This Row],[RÉEL]]-Revenus[[#This Row],[ESTIMÉ]]</f>
        <v>-99</v>
      </c>
      <c r="K22" s="35"/>
    </row>
    <row r="23" spans="1:12" x14ac:dyDescent="0.25">
      <c r="A23" s="35"/>
      <c r="B23" s="35"/>
      <c r="C23" s="35"/>
      <c r="D23" s="35"/>
      <c r="E23" s="35"/>
      <c r="F23" s="35"/>
      <c r="G23" s="38" t="s">
        <v>105</v>
      </c>
      <c r="H23" s="39">
        <v>100</v>
      </c>
      <c r="I23" s="39"/>
      <c r="J23" s="56">
        <f>Revenus[[#This Row],[RÉEL]]-Revenus[[#This Row],[ESTIMÉ]]</f>
        <v>-100</v>
      </c>
      <c r="K23" s="35"/>
    </row>
    <row r="24" spans="1:12" x14ac:dyDescent="0.25">
      <c r="A24" s="35"/>
      <c r="B24" s="35"/>
      <c r="C24" s="35"/>
      <c r="D24" s="35"/>
      <c r="E24" s="35"/>
      <c r="F24" s="35"/>
      <c r="G24" s="38" t="s">
        <v>106</v>
      </c>
      <c r="H24" s="39">
        <v>250</v>
      </c>
      <c r="I24" s="39">
        <v>50</v>
      </c>
      <c r="J24" s="56">
        <f>Revenus[[#This Row],[RÉEL]]-Revenus[[#This Row],[ESTIMÉ]]</f>
        <v>-200</v>
      </c>
      <c r="K24" s="35"/>
    </row>
    <row r="25" spans="1:12" x14ac:dyDescent="0.25">
      <c r="A25" s="35"/>
      <c r="B25" s="35"/>
      <c r="C25" s="35"/>
      <c r="D25" s="35"/>
      <c r="E25" s="35"/>
      <c r="F25" s="35"/>
      <c r="G25" s="59" t="s">
        <v>4</v>
      </c>
      <c r="H25" s="60">
        <f>SUBTOTAL(109,Revenus[ESTIMÉ])</f>
        <v>73850</v>
      </c>
      <c r="I25" s="60">
        <f>SUBTOTAL(109,Revenus[RÉEL])</f>
        <v>70723</v>
      </c>
      <c r="J25" s="61">
        <f>SUBTOTAL(109,Revenus[DIFFÉRENCE])</f>
        <v>-3127</v>
      </c>
      <c r="K25" s="35"/>
    </row>
    <row r="26" spans="1:12" x14ac:dyDescent="0.25">
      <c r="A26" s="35"/>
      <c r="B26" s="35"/>
      <c r="C26" s="35"/>
      <c r="D26" s="35"/>
      <c r="E26" s="35"/>
      <c r="F26" s="35"/>
      <c r="G26" s="52"/>
      <c r="H26" s="52"/>
      <c r="I26" s="52"/>
      <c r="J26" s="58"/>
      <c r="K26" s="35"/>
    </row>
    <row r="27" spans="1:12" x14ac:dyDescent="0.25">
      <c r="A27" s="35"/>
      <c r="B27" s="35"/>
      <c r="C27" s="35"/>
      <c r="D27" s="35"/>
      <c r="E27" s="35"/>
      <c r="F27" s="35"/>
      <c r="G27" s="38" t="s">
        <v>102</v>
      </c>
      <c r="H27" s="41" t="s">
        <v>77</v>
      </c>
      <c r="I27" s="41" t="s">
        <v>78</v>
      </c>
      <c r="J27" s="56" t="s">
        <v>79</v>
      </c>
      <c r="K27" s="52"/>
      <c r="L27" s="35"/>
    </row>
    <row r="28" spans="1:12" x14ac:dyDescent="0.25">
      <c r="A28" s="35"/>
      <c r="B28" s="35"/>
      <c r="C28" s="35"/>
      <c r="D28" s="35"/>
      <c r="E28" s="35"/>
      <c r="F28" s="35"/>
      <c r="G28" s="38" t="s">
        <v>87</v>
      </c>
      <c r="H28" s="39">
        <v>9500</v>
      </c>
      <c r="I28" s="39">
        <v>9600</v>
      </c>
      <c r="J28" s="56">
        <f>DépensesPersonnelles[[#This Row],[ESTIMÉ]]-DépensesPersonnelles[[#This Row],[RÉEL]]</f>
        <v>-100</v>
      </c>
      <c r="K28" s="35"/>
    </row>
    <row r="29" spans="1:12" x14ac:dyDescent="0.25">
      <c r="A29" s="35"/>
      <c r="B29" s="35"/>
      <c r="C29" s="35"/>
      <c r="D29" s="35"/>
      <c r="E29" s="35"/>
      <c r="F29" s="35"/>
      <c r="G29" s="38" t="s">
        <v>88</v>
      </c>
      <c r="H29" s="40">
        <f>SUBTOTAL(109,DépensesPersonnelles[ESTIMÉ])</f>
        <v>9500</v>
      </c>
      <c r="I29" s="40">
        <f>SUBTOTAL(109,DépensesPersonnelles[RÉEL])</f>
        <v>9600</v>
      </c>
      <c r="J29" s="57">
        <f>SUBTOTAL(109,DépensesPersonnelles[DIFFÉRENCE])</f>
        <v>-100</v>
      </c>
      <c r="K29" s="35"/>
    </row>
    <row r="30" spans="1:12" x14ac:dyDescent="0.25">
      <c r="A30" s="35"/>
      <c r="B30" s="35"/>
      <c r="C30" s="35"/>
      <c r="D30" s="35"/>
      <c r="E30" s="35"/>
      <c r="F30" s="35"/>
      <c r="G30" s="52"/>
      <c r="H30" s="52"/>
      <c r="I30" s="52"/>
      <c r="J30" s="58"/>
      <c r="K30" s="35"/>
    </row>
    <row r="31" spans="1:12" x14ac:dyDescent="0.25">
      <c r="A31" s="35"/>
      <c r="B31" s="35"/>
      <c r="C31" s="35"/>
      <c r="D31" s="35"/>
      <c r="E31" s="35"/>
      <c r="F31" s="35"/>
      <c r="G31" s="38" t="s">
        <v>89</v>
      </c>
      <c r="H31" s="42" t="s">
        <v>77</v>
      </c>
      <c r="I31" s="42" t="s">
        <v>78</v>
      </c>
      <c r="J31" s="57" t="s">
        <v>79</v>
      </c>
      <c r="K31" s="35"/>
    </row>
    <row r="32" spans="1:12" x14ac:dyDescent="0.25">
      <c r="A32" s="35"/>
      <c r="B32" s="35"/>
      <c r="C32" s="35"/>
      <c r="D32" s="35"/>
      <c r="E32" s="35"/>
      <c r="F32" s="35"/>
      <c r="G32" s="38" t="s">
        <v>94</v>
      </c>
      <c r="H32" s="39">
        <v>1100</v>
      </c>
      <c r="I32" s="39">
        <v>1200</v>
      </c>
      <c r="J32" s="56">
        <f>FraisExploitation[[#This Row],[ESTIMÉ]]-FraisExploitation[[#This Row],[RÉEL]]</f>
        <v>-100</v>
      </c>
      <c r="K32" s="35"/>
    </row>
    <row r="33" spans="1:11" x14ac:dyDescent="0.25">
      <c r="A33" s="35"/>
      <c r="B33" s="35"/>
      <c r="C33" s="35"/>
      <c r="D33" s="35"/>
      <c r="E33" s="35"/>
      <c r="F33" s="35"/>
      <c r="G33" s="38" t="s">
        <v>90</v>
      </c>
      <c r="H33" s="39"/>
      <c r="I33" s="39"/>
      <c r="J33" s="56">
        <f>FraisExploitation[[#This Row],[ESTIMÉ]]-FraisExploitation[[#This Row],[RÉEL]]</f>
        <v>0</v>
      </c>
      <c r="K33" s="35"/>
    </row>
    <row r="34" spans="1:11" x14ac:dyDescent="0.25">
      <c r="A34" s="35"/>
      <c r="B34" s="35"/>
      <c r="C34" s="35"/>
      <c r="D34" s="35"/>
      <c r="E34" s="35"/>
      <c r="F34" s="35"/>
      <c r="G34" s="38" t="s">
        <v>95</v>
      </c>
      <c r="H34" s="39"/>
      <c r="I34" s="39"/>
      <c r="J34" s="56">
        <f>FraisExploitation[[#This Row],[ESTIMÉ]]-FraisExploitation[[#This Row],[RÉEL]]</f>
        <v>0</v>
      </c>
      <c r="K34" s="35"/>
    </row>
    <row r="35" spans="1:11" x14ac:dyDescent="0.25">
      <c r="A35" s="35"/>
      <c r="B35" s="35"/>
      <c r="C35" s="35"/>
      <c r="D35" s="35"/>
      <c r="E35" s="35"/>
      <c r="F35" s="35"/>
      <c r="G35" s="38" t="s">
        <v>96</v>
      </c>
      <c r="H35" s="39"/>
      <c r="I35" s="39"/>
      <c r="J35" s="56">
        <f>FraisExploitation[[#This Row],[ESTIMÉ]]-FraisExploitation[[#This Row],[RÉEL]]</f>
        <v>0</v>
      </c>
      <c r="K35" s="35"/>
    </row>
    <row r="36" spans="1:11" x14ac:dyDescent="0.25">
      <c r="A36" s="35"/>
      <c r="B36" s="35"/>
      <c r="C36" s="35"/>
      <c r="D36" s="35"/>
      <c r="E36" s="35"/>
      <c r="F36" s="35"/>
      <c r="G36" s="38" t="s">
        <v>92</v>
      </c>
      <c r="H36" s="39"/>
      <c r="I36" s="39"/>
      <c r="J36" s="56">
        <f>FraisExploitation[[#This Row],[ESTIMÉ]]-FraisExploitation[[#This Row],[RÉEL]]</f>
        <v>0</v>
      </c>
      <c r="K36" s="35"/>
    </row>
    <row r="37" spans="1:11" x14ac:dyDescent="0.25">
      <c r="A37" s="35"/>
      <c r="B37" s="35"/>
      <c r="C37" s="35"/>
      <c r="D37" s="35"/>
      <c r="E37" s="49"/>
      <c r="F37" s="35"/>
      <c r="G37" s="38" t="s">
        <v>91</v>
      </c>
      <c r="H37" s="39"/>
      <c r="I37" s="39"/>
      <c r="J37" s="56">
        <f>FraisExploitation[[#This Row],[ESTIMÉ]]-FraisExploitation[[#This Row],[RÉEL]]</f>
        <v>0</v>
      </c>
      <c r="K37" s="35"/>
    </row>
    <row r="38" spans="1:11" x14ac:dyDescent="0.25">
      <c r="A38" s="35"/>
      <c r="B38" s="35"/>
      <c r="C38" s="35"/>
      <c r="D38" s="50"/>
      <c r="E38" s="35"/>
      <c r="F38" s="35"/>
      <c r="G38" s="38" t="s">
        <v>100</v>
      </c>
      <c r="H38" s="39"/>
      <c r="I38" s="39"/>
      <c r="J38" s="56">
        <f>FraisExploitation[[#This Row],[ESTIMÉ]]-FraisExploitation[[#This Row],[RÉEL]]</f>
        <v>0</v>
      </c>
      <c r="K38" s="35"/>
    </row>
    <row r="39" spans="1:11" x14ac:dyDescent="0.25">
      <c r="A39" s="35"/>
      <c r="B39" s="35"/>
      <c r="C39" s="35"/>
      <c r="D39" s="50"/>
      <c r="E39" s="35"/>
      <c r="F39" s="35"/>
      <c r="G39" s="38" t="s">
        <v>97</v>
      </c>
      <c r="H39" s="39"/>
      <c r="I39" s="39"/>
      <c r="J39" s="56">
        <f>FraisExploitation[[#This Row],[ESTIMÉ]]-FraisExploitation[[#This Row],[RÉEL]]</f>
        <v>0</v>
      </c>
      <c r="K39" s="35"/>
    </row>
    <row r="40" spans="1:11" x14ac:dyDescent="0.25">
      <c r="A40" s="35"/>
      <c r="B40" s="35"/>
      <c r="C40" s="35"/>
      <c r="D40" s="50"/>
      <c r="E40" s="35"/>
      <c r="F40" s="35"/>
      <c r="G40" s="38" t="s">
        <v>98</v>
      </c>
      <c r="H40" s="39"/>
      <c r="I40" s="39"/>
      <c r="J40" s="56">
        <f>FraisExploitation[[#This Row],[ESTIMÉ]]-FraisExploitation[[#This Row],[RÉEL]]</f>
        <v>0</v>
      </c>
      <c r="K40" s="35"/>
    </row>
    <row r="41" spans="1:11" x14ac:dyDescent="0.25">
      <c r="A41" s="35"/>
      <c r="B41" s="75"/>
      <c r="C41" s="75"/>
      <c r="D41" s="75"/>
      <c r="E41" s="49"/>
      <c r="F41" s="35"/>
      <c r="G41" s="38" t="s">
        <v>99</v>
      </c>
      <c r="H41" s="39"/>
      <c r="I41" s="39"/>
      <c r="J41" s="56">
        <f>FraisExploitation[[#This Row],[ESTIMÉ]]-FraisExploitation[[#This Row],[RÉEL]]</f>
        <v>0</v>
      </c>
      <c r="K41" s="35"/>
    </row>
    <row r="42" spans="1:11" ht="15.75" x14ac:dyDescent="0.25">
      <c r="A42" s="35"/>
      <c r="B42" s="51"/>
      <c r="C42" s="51"/>
      <c r="D42" s="51"/>
      <c r="E42" s="51"/>
      <c r="F42" s="35"/>
      <c r="G42" s="38"/>
      <c r="H42" s="39"/>
      <c r="I42" s="39"/>
      <c r="J42" s="56">
        <f>FraisExploitation[[#This Row],[ESTIMÉ]]-FraisExploitation[[#This Row],[RÉEL]]</f>
        <v>0</v>
      </c>
      <c r="K42" s="35"/>
    </row>
    <row r="43" spans="1:11" x14ac:dyDescent="0.25">
      <c r="A43" s="35"/>
      <c r="B43" s="36"/>
      <c r="C43" s="37"/>
      <c r="D43" s="37"/>
      <c r="E43" s="37"/>
      <c r="F43" s="35"/>
      <c r="G43" s="35" t="s">
        <v>4</v>
      </c>
      <c r="H43" s="48">
        <f>SUBTOTAL(109,FraisExploitation[ESTIMÉ])</f>
        <v>1100</v>
      </c>
      <c r="I43" s="48">
        <f>SUBTOTAL(109,FraisExploitation[RÉEL])</f>
        <v>1200</v>
      </c>
      <c r="J43" s="54">
        <f>SUBTOTAL(109,FraisExploitation[DIFFÉRENCE])</f>
        <v>-100</v>
      </c>
      <c r="K43" s="35"/>
    </row>
    <row r="44" spans="1:11" x14ac:dyDescent="0.25">
      <c r="A44" s="35"/>
      <c r="B44" s="38"/>
      <c r="C44" s="43"/>
      <c r="D44" s="44"/>
      <c r="E44" s="39"/>
      <c r="F44" s="35"/>
      <c r="G44" s="35" t="s">
        <v>93</v>
      </c>
      <c r="H44" s="35"/>
      <c r="I44" s="35"/>
      <c r="J44" s="54"/>
      <c r="K44" s="35"/>
    </row>
    <row r="45" spans="1:11" x14ac:dyDescent="0.25">
      <c r="A45" s="35"/>
      <c r="B45" s="38"/>
      <c r="C45" s="41"/>
      <c r="D45" s="44"/>
      <c r="E45" s="39"/>
      <c r="F45" s="35"/>
      <c r="G45" s="35"/>
      <c r="H45" s="35"/>
      <c r="I45" s="35"/>
      <c r="J45" s="54"/>
      <c r="K45" s="35"/>
    </row>
    <row r="46" spans="1:11" x14ac:dyDescent="0.25">
      <c r="A46" s="35"/>
      <c r="B46" s="38"/>
      <c r="C46" s="41"/>
      <c r="D46" s="44"/>
      <c r="E46" s="39"/>
      <c r="F46" s="35"/>
      <c r="G46" s="35"/>
      <c r="H46" s="35"/>
      <c r="I46" s="35"/>
      <c r="J46" s="54"/>
      <c r="K46" s="35"/>
    </row>
    <row r="47" spans="1:11" x14ac:dyDescent="0.25">
      <c r="A47" s="35"/>
      <c r="B47" s="38"/>
      <c r="C47" s="41"/>
      <c r="D47" s="44"/>
      <c r="E47" s="39"/>
      <c r="F47" s="35"/>
      <c r="K47" s="35"/>
    </row>
    <row r="48" spans="1:11" x14ac:dyDescent="0.25">
      <c r="A48" s="35"/>
      <c r="B48" s="38"/>
      <c r="C48" s="41"/>
      <c r="D48" s="44"/>
      <c r="E48" s="39"/>
      <c r="F48" s="35"/>
      <c r="K48" s="35"/>
    </row>
    <row r="49" spans="1:12" x14ac:dyDescent="0.25">
      <c r="A49" s="35"/>
      <c r="B49" s="38"/>
      <c r="C49" s="45"/>
      <c r="D49" s="46"/>
      <c r="E49" s="39"/>
      <c r="F49" s="35"/>
      <c r="K49" s="35"/>
    </row>
    <row r="50" spans="1:12" x14ac:dyDescent="0.25">
      <c r="A50" s="35"/>
      <c r="B50" s="35"/>
      <c r="C50" s="35"/>
      <c r="D50" s="35"/>
      <c r="E50" s="35"/>
      <c r="F50" s="35"/>
      <c r="K50" s="35"/>
      <c r="L50" s="35"/>
    </row>
    <row r="51" spans="1:12" x14ac:dyDescent="0.25">
      <c r="A51" s="35"/>
      <c r="B51" s="35"/>
      <c r="C51" s="35"/>
      <c r="D51" s="35"/>
      <c r="E51" s="35"/>
      <c r="F51" s="35"/>
      <c r="K51" s="35"/>
      <c r="L51" s="35"/>
    </row>
    <row r="52" spans="1:12" x14ac:dyDescent="0.25">
      <c r="A52" s="35"/>
      <c r="B52" s="35"/>
      <c r="C52" s="35"/>
      <c r="D52" s="35"/>
      <c r="E52" s="35"/>
      <c r="F52" s="35"/>
      <c r="K52" s="35"/>
      <c r="L52" s="35"/>
    </row>
  </sheetData>
  <mergeCells count="1">
    <mergeCell ref="B41:D41"/>
  </mergeCell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J32:J42 J28 J17:J24</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topLeftCell="A4" workbookViewId="0">
      <selection activeCell="B33" sqref="B33"/>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62" t="s">
        <v>107</v>
      </c>
    </row>
    <row r="18" spans="2:7" ht="23.25" x14ac:dyDescent="0.25">
      <c r="F18" s="62" t="s">
        <v>35</v>
      </c>
    </row>
    <row r="21" spans="2:7" ht="15.75" x14ac:dyDescent="0.25">
      <c r="B21" s="8" t="s">
        <v>43</v>
      </c>
      <c r="C21" s="8" t="s">
        <v>36</v>
      </c>
      <c r="D21" s="8" t="s">
        <v>4</v>
      </c>
      <c r="F21" s="11" t="s">
        <v>38</v>
      </c>
      <c r="G21" s="13">
        <v>200</v>
      </c>
    </row>
    <row r="22" spans="2:7" ht="15.75" x14ac:dyDescent="0.25">
      <c r="B22" s="3"/>
      <c r="C22" s="9">
        <v>0.01</v>
      </c>
      <c r="D22" s="10">
        <f>Tableau23[[#This Row],[Nombre]]*Tableau23[[#This Row],[€]]</f>
        <v>0</v>
      </c>
      <c r="F22" s="12" t="s">
        <v>44</v>
      </c>
      <c r="G22" s="14">
        <v>781.03</v>
      </c>
    </row>
    <row r="23" spans="2:7" ht="15.75" x14ac:dyDescent="0.25">
      <c r="B23" s="3">
        <v>2</v>
      </c>
      <c r="C23" s="9">
        <v>0.02</v>
      </c>
      <c r="D23" s="10">
        <f>Tableau23[[#This Row],[Nombre]]*Tableau23[[#This Row],[€]]</f>
        <v>0.04</v>
      </c>
      <c r="F23" s="11" t="s">
        <v>45</v>
      </c>
      <c r="G23" s="13">
        <f>D37</f>
        <v>1251.04</v>
      </c>
    </row>
    <row r="24" spans="2:7" ht="18.75" x14ac:dyDescent="0.3">
      <c r="B24" s="3">
        <v>10</v>
      </c>
      <c r="C24" s="9">
        <v>0.05</v>
      </c>
      <c r="D24" s="10">
        <f>Tableau23[[#This Row],[Nombre]]*Tableau23[[#This Row],[€]]</f>
        <v>0.5</v>
      </c>
      <c r="F24" s="12" t="s">
        <v>46</v>
      </c>
      <c r="G24" s="16">
        <f>ABS(G23-G22)</f>
        <v>470.01</v>
      </c>
    </row>
    <row r="25" spans="2:7" ht="23.25" x14ac:dyDescent="0.35">
      <c r="B25" s="3"/>
      <c r="C25" s="9">
        <v>0.1</v>
      </c>
      <c r="D25" s="10">
        <f>Tableau23[[#This Row],[Nombre]]*Tableau23[[#This Row],[€]]</f>
        <v>0</v>
      </c>
      <c r="F25" s="17" t="s">
        <v>39</v>
      </c>
      <c r="G25" s="15">
        <f>G23-G21</f>
        <v>1051.04</v>
      </c>
    </row>
    <row r="26" spans="2:7" ht="15.75" x14ac:dyDescent="0.25">
      <c r="B26" s="3"/>
      <c r="C26" s="9">
        <v>0.2</v>
      </c>
      <c r="D26" s="10">
        <f>Tableau23[[#This Row],[Nombre]]*Tableau23[[#This Row],[€]]</f>
        <v>0</v>
      </c>
    </row>
    <row r="27" spans="2:7" ht="15.75" x14ac:dyDescent="0.25">
      <c r="B27" s="3">
        <v>23</v>
      </c>
      <c r="C27" s="9">
        <v>0.5</v>
      </c>
      <c r="D27" s="10">
        <f>Tableau23[[#This Row],[Nombre]]*Tableau23[[#This Row],[€]]</f>
        <v>11.5</v>
      </c>
    </row>
    <row r="28" spans="2:7" ht="15.75" x14ac:dyDescent="0.25">
      <c r="B28" s="3">
        <v>3</v>
      </c>
      <c r="C28" s="9">
        <v>1</v>
      </c>
      <c r="D28" s="10">
        <f>Tableau23[[#This Row],[Nombre]]*Tableau23[[#This Row],[€]]</f>
        <v>3</v>
      </c>
      <c r="F28" s="12" t="s">
        <v>47</v>
      </c>
      <c r="G28" s="18">
        <v>4</v>
      </c>
    </row>
    <row r="29" spans="2:7" ht="23.25" x14ac:dyDescent="0.35">
      <c r="B29" s="3">
        <v>8</v>
      </c>
      <c r="C29" s="9">
        <v>2</v>
      </c>
      <c r="D29" s="10">
        <f>Tableau23[[#This Row],[Nombre]]*Tableau23[[#This Row],[€]]</f>
        <v>16</v>
      </c>
      <c r="F29" s="17" t="s">
        <v>4</v>
      </c>
      <c r="G29" s="15">
        <v>51</v>
      </c>
    </row>
    <row r="30" spans="2:7" ht="15.75" x14ac:dyDescent="0.25">
      <c r="B30" s="3">
        <v>6</v>
      </c>
      <c r="C30" s="9">
        <v>5</v>
      </c>
      <c r="D30" s="10">
        <f>Tableau23[[#This Row],[Nombre]]*Tableau23[[#This Row],[€]]</f>
        <v>30</v>
      </c>
    </row>
    <row r="31" spans="2:7" ht="15.75" x14ac:dyDescent="0.25">
      <c r="B31" s="3">
        <v>3</v>
      </c>
      <c r="C31" s="9">
        <v>10</v>
      </c>
      <c r="D31" s="10">
        <f>Tableau23[[#This Row],[Nombre]]*Tableau23[[#This Row],[€]]</f>
        <v>30</v>
      </c>
    </row>
    <row r="32" spans="2:7" ht="15.75" x14ac:dyDescent="0.25">
      <c r="B32" s="3">
        <v>3</v>
      </c>
      <c r="C32" s="9">
        <v>20</v>
      </c>
      <c r="D32" s="10">
        <f>Tableau23[[#This Row],[Nombre]]*Tableau23[[#This Row],[€]]</f>
        <v>60</v>
      </c>
    </row>
    <row r="33" spans="2:4" ht="15.75" x14ac:dyDescent="0.25">
      <c r="B33" s="3">
        <v>2</v>
      </c>
      <c r="C33" s="9">
        <v>50</v>
      </c>
      <c r="D33" s="10">
        <f>Tableau23[[#This Row],[Nombre]]*Tableau23[[#This Row],[€]]</f>
        <v>100</v>
      </c>
    </row>
    <row r="34" spans="2:4" ht="15.75" x14ac:dyDescent="0.25">
      <c r="B34" s="3"/>
      <c r="C34" s="9">
        <v>100</v>
      </c>
      <c r="D34" s="10">
        <f>Tableau23[[#This Row],[Nombre]]*Tableau23[[#This Row],[€]]</f>
        <v>0</v>
      </c>
    </row>
    <row r="35" spans="2:4" ht="15.75" x14ac:dyDescent="0.25">
      <c r="B35" s="3"/>
      <c r="C35" s="9">
        <v>200</v>
      </c>
      <c r="D35" s="10">
        <f>Tableau23[[#This Row],[Nombre]]*Tableau23[[#This Row],[€]]</f>
        <v>0</v>
      </c>
    </row>
    <row r="36" spans="2:4" ht="15.75" x14ac:dyDescent="0.25">
      <c r="B36" s="3">
        <v>2</v>
      </c>
      <c r="C36" s="9">
        <v>500</v>
      </c>
      <c r="D36" s="10">
        <f>Tableau23[[#This Row],[Nombre]]*Tableau23[[#This Row],[€]]</f>
        <v>1000</v>
      </c>
    </row>
    <row r="37" spans="2:4" ht="21" x14ac:dyDescent="0.35">
      <c r="B37" s="76" t="s">
        <v>37</v>
      </c>
      <c r="C37" s="76"/>
      <c r="D37" s="19">
        <f>SUM(Tableau23[Total])</f>
        <v>1251.04</v>
      </c>
    </row>
  </sheetData>
  <mergeCells count="1">
    <mergeCell ref="B37:C37"/>
  </mergeCells>
  <conditionalFormatting sqref="G24">
    <cfRule type="cellIs" dxfId="3" priority="1" operator="greaterThan">
      <formula>10</formula>
    </cfRule>
    <cfRule type="cellIs" dxfId="2" priority="2" operator="equal">
      <formula>0</formula>
    </cfRule>
    <cfRule type="cellIs" dxfId="1"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H38"/>
  <sheetViews>
    <sheetView showGridLines="0" workbookViewId="0"/>
  </sheetViews>
  <sheetFormatPr baseColWidth="10" defaultRowHeight="15" x14ac:dyDescent="0.25"/>
  <cols>
    <col min="1" max="1" width="11.28515625" style="7" customWidth="1"/>
    <col min="2" max="2" width="20.85546875" style="7" customWidth="1"/>
    <col min="3" max="3" width="12.5703125" style="7" customWidth="1"/>
    <col min="4" max="4" width="23.85546875" style="25" customWidth="1"/>
    <col min="5" max="5" width="23.85546875" style="7" customWidth="1"/>
    <col min="6" max="6" width="12.5703125" style="25" customWidth="1"/>
    <col min="7" max="7" width="15.42578125" style="25" bestFit="1" customWidth="1"/>
    <col min="8" max="8" width="15" style="25" bestFit="1" customWidth="1"/>
    <col min="9" max="9" width="11.42578125" style="7"/>
    <col min="10" max="10" width="7" style="7" customWidth="1"/>
    <col min="11" max="16384" width="11.42578125" style="7"/>
  </cols>
  <sheetData>
    <row r="9" spans="2:8" ht="23.25" x14ac:dyDescent="0.25">
      <c r="G9" s="77" t="s">
        <v>113</v>
      </c>
      <c r="H9" s="77"/>
    </row>
    <row r="11" spans="2:8" s="20" customFormat="1" x14ac:dyDescent="0.25">
      <c r="D11" s="23"/>
      <c r="F11" s="23"/>
      <c r="G11" s="23"/>
      <c r="H11" s="23"/>
    </row>
    <row r="13" spans="2:8" ht="30" x14ac:dyDescent="0.25">
      <c r="B13" s="20" t="s">
        <v>7</v>
      </c>
      <c r="C13" s="20" t="s">
        <v>107</v>
      </c>
      <c r="D13" s="23" t="s">
        <v>108</v>
      </c>
      <c r="E13" s="20" t="s">
        <v>109</v>
      </c>
      <c r="F13" s="23" t="s">
        <v>110</v>
      </c>
      <c r="G13" s="23" t="s">
        <v>111</v>
      </c>
      <c r="H13" s="23" t="s">
        <v>112</v>
      </c>
    </row>
    <row r="14" spans="2:8" x14ac:dyDescent="0.25">
      <c r="B14" s="33">
        <v>41368</v>
      </c>
      <c r="C14" s="7">
        <v>5</v>
      </c>
      <c r="D14" s="25">
        <v>200</v>
      </c>
      <c r="E14" s="7">
        <v>2</v>
      </c>
      <c r="F14" s="25">
        <v>32</v>
      </c>
      <c r="G14" s="25">
        <v>32</v>
      </c>
      <c r="H14" s="25">
        <f>IF(ISERROR(H13+G14),G14,H13+G14)</f>
        <v>32</v>
      </c>
    </row>
    <row r="15" spans="2:8" x14ac:dyDescent="0.25">
      <c r="B15" s="33">
        <v>41390</v>
      </c>
      <c r="C15" s="7">
        <v>5</v>
      </c>
      <c r="D15" s="25">
        <v>246.2</v>
      </c>
      <c r="E15" s="7">
        <v>2</v>
      </c>
      <c r="F15" s="25">
        <v>32</v>
      </c>
      <c r="G15" s="25">
        <v>78.199999999999989</v>
      </c>
      <c r="H15" s="25">
        <f>IF(ISERROR(H14+G15),G15,H14+G15)</f>
        <v>110.19999999999999</v>
      </c>
    </row>
    <row r="16" spans="2:8" x14ac:dyDescent="0.25">
      <c r="B16" s="33">
        <v>41391</v>
      </c>
      <c r="C16" s="7">
        <v>1</v>
      </c>
      <c r="D16" s="25">
        <v>200.2</v>
      </c>
      <c r="E16" s="7">
        <v>2</v>
      </c>
      <c r="F16" s="25">
        <v>32</v>
      </c>
      <c r="G16" s="25">
        <v>32.199999999999989</v>
      </c>
      <c r="H16" s="25">
        <f>IF(ISERROR(H15+G16),G16,H15+G16)</f>
        <v>142.39999999999998</v>
      </c>
    </row>
    <row r="17" spans="1:8" x14ac:dyDescent="0.25">
      <c r="B17" s="33">
        <v>41392</v>
      </c>
      <c r="C17" s="7">
        <v>4</v>
      </c>
      <c r="D17" s="25">
        <v>318.7</v>
      </c>
      <c r="E17" s="7">
        <v>2</v>
      </c>
      <c r="F17" s="25">
        <v>32</v>
      </c>
      <c r="G17" s="25">
        <v>150.69999999999999</v>
      </c>
      <c r="H17" s="25">
        <f>IF(ISERROR(H16+G17),G17,H16+G17)</f>
        <v>293.09999999999997</v>
      </c>
    </row>
    <row r="18" spans="1:8" x14ac:dyDescent="0.25">
      <c r="B18" s="33">
        <v>41397</v>
      </c>
      <c r="C18" s="7">
        <v>4</v>
      </c>
      <c r="D18" s="25">
        <v>318.7</v>
      </c>
      <c r="E18" s="7">
        <v>2</v>
      </c>
      <c r="F18" s="25">
        <v>32</v>
      </c>
      <c r="G18" s="25">
        <v>150.69999999999999</v>
      </c>
      <c r="H18" s="25">
        <f>IF(ISERROR(H17+G18),G18,H17+G18)</f>
        <v>443.79999999999995</v>
      </c>
    </row>
    <row r="19" spans="1:8" x14ac:dyDescent="0.25">
      <c r="B19" s="33">
        <v>41399</v>
      </c>
      <c r="C19" s="7">
        <v>1</v>
      </c>
      <c r="D19" s="25">
        <v>1251.04</v>
      </c>
      <c r="E19" s="7">
        <v>4</v>
      </c>
      <c r="F19" s="25">
        <v>51</v>
      </c>
      <c r="G19" s="25">
        <v>1102.04</v>
      </c>
      <c r="H19" s="25">
        <f>IF(ISERROR(H18+G19),G19,H18+G19)</f>
        <v>1545.84</v>
      </c>
    </row>
    <row r="21" spans="1:8" x14ac:dyDescent="0.25">
      <c r="C21"/>
      <c r="D21"/>
      <c r="E21"/>
      <c r="F21"/>
    </row>
    <row r="22" spans="1:8" x14ac:dyDescent="0.25">
      <c r="C22"/>
      <c r="D22"/>
      <c r="E22"/>
      <c r="F22"/>
    </row>
    <row r="23" spans="1:8" x14ac:dyDescent="0.25">
      <c r="C23"/>
    </row>
    <row r="24" spans="1:8" x14ac:dyDescent="0.25">
      <c r="C24"/>
    </row>
    <row r="25" spans="1:8" x14ac:dyDescent="0.25">
      <c r="C25"/>
    </row>
    <row r="26" spans="1:8" x14ac:dyDescent="0.25">
      <c r="C26"/>
    </row>
    <row r="27" spans="1:8" x14ac:dyDescent="0.25">
      <c r="C27"/>
    </row>
    <row r="28" spans="1:8" x14ac:dyDescent="0.25">
      <c r="A28"/>
      <c r="B28"/>
      <c r="C28"/>
    </row>
    <row r="29" spans="1:8" x14ac:dyDescent="0.25">
      <c r="A29"/>
      <c r="B29"/>
      <c r="C29"/>
    </row>
    <row r="30" spans="1:8" x14ac:dyDescent="0.25">
      <c r="A30"/>
      <c r="B30"/>
      <c r="C30"/>
    </row>
    <row r="31" spans="1:8" x14ac:dyDescent="0.25">
      <c r="A31"/>
      <c r="B31"/>
      <c r="C31"/>
    </row>
    <row r="32" spans="1:8"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tabSelected="1" topLeftCell="A31" workbookViewId="0">
      <selection activeCell="H60" sqref="H60"/>
    </sheetView>
  </sheetViews>
  <sheetFormatPr baseColWidth="10" defaultColWidth="14" defaultRowHeight="15" x14ac:dyDescent="0.25"/>
  <cols>
    <col min="7" max="7" width="21" bestFit="1" customWidth="1"/>
    <col min="8" max="8" width="22.85546875" bestFit="1" customWidth="1"/>
  </cols>
  <sheetData>
    <row r="8" spans="7:7" ht="23.25" x14ac:dyDescent="0.35">
      <c r="G8" s="2" t="s">
        <v>42</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31"/>
  <sheetViews>
    <sheetView topLeftCell="A10" workbookViewId="0">
      <selection activeCell="G18" sqref="G18"/>
    </sheetView>
  </sheetViews>
  <sheetFormatPr baseColWidth="10" defaultRowHeight="15" x14ac:dyDescent="0.25"/>
  <cols>
    <col min="1" max="1" width="21" bestFit="1" customWidth="1"/>
    <col min="2" max="2" width="15.28515625" customWidth="1"/>
    <col min="3" max="3" width="21.42578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64" t="s">
        <v>115</v>
      </c>
      <c r="B1" t="s">
        <v>116</v>
      </c>
    </row>
    <row r="2" spans="1:9" x14ac:dyDescent="0.25">
      <c r="A2" s="65">
        <v>1</v>
      </c>
      <c r="B2" s="63">
        <v>567.12</v>
      </c>
    </row>
    <row r="3" spans="1:9" x14ac:dyDescent="0.25">
      <c r="A3" s="65">
        <v>4</v>
      </c>
      <c r="B3" s="63">
        <v>150.69999999999999</v>
      </c>
    </row>
    <row r="4" spans="1:9" x14ac:dyDescent="0.25">
      <c r="A4" s="65">
        <v>5</v>
      </c>
      <c r="B4" s="63">
        <v>55.099999999999994</v>
      </c>
    </row>
    <row r="5" spans="1:9" x14ac:dyDescent="0.25">
      <c r="A5" s="65" t="s">
        <v>114</v>
      </c>
      <c r="B5" s="63">
        <v>257.64000000000004</v>
      </c>
    </row>
    <row r="10" spans="1:9" x14ac:dyDescent="0.25">
      <c r="A10" s="64" t="s">
        <v>9</v>
      </c>
      <c r="B10" t="s">
        <v>117</v>
      </c>
    </row>
    <row r="11" spans="1:9" x14ac:dyDescent="0.25">
      <c r="A11" s="64" t="s">
        <v>119</v>
      </c>
      <c r="B11" t="s">
        <v>117</v>
      </c>
    </row>
    <row r="13" spans="1:9" x14ac:dyDescent="0.25">
      <c r="A13" s="64" t="s">
        <v>115</v>
      </c>
      <c r="B13" t="s">
        <v>118</v>
      </c>
    </row>
    <row r="14" spans="1:9" x14ac:dyDescent="0.25">
      <c r="A14" s="65" t="s">
        <v>133</v>
      </c>
      <c r="B14" s="63">
        <v>52.5</v>
      </c>
      <c r="H14" s="65"/>
      <c r="I14" s="63"/>
    </row>
    <row r="15" spans="1:9" x14ac:dyDescent="0.25">
      <c r="A15" s="65" t="s">
        <v>120</v>
      </c>
      <c r="B15" s="63">
        <v>5.2899999999999991</v>
      </c>
      <c r="H15" s="65"/>
      <c r="I15" s="63"/>
    </row>
    <row r="16" spans="1:9" x14ac:dyDescent="0.25">
      <c r="A16" s="65" t="s">
        <v>131</v>
      </c>
      <c r="B16" s="63">
        <v>10</v>
      </c>
      <c r="H16" s="65"/>
      <c r="I16" s="63"/>
    </row>
    <row r="17" spans="1:9" x14ac:dyDescent="0.25">
      <c r="A17" s="65" t="s">
        <v>135</v>
      </c>
      <c r="B17" s="63">
        <v>180</v>
      </c>
      <c r="H17" s="65"/>
      <c r="I17" s="63"/>
    </row>
    <row r="18" spans="1:9" x14ac:dyDescent="0.25">
      <c r="A18" s="65" t="s">
        <v>114</v>
      </c>
      <c r="B18" s="63">
        <v>247.79</v>
      </c>
      <c r="H18" s="65"/>
      <c r="I18" s="63"/>
    </row>
    <row r="19" spans="1:9" x14ac:dyDescent="0.25">
      <c r="H19" s="65"/>
      <c r="I19" s="63"/>
    </row>
    <row r="22" spans="1:9" x14ac:dyDescent="0.25">
      <c r="A22" s="64" t="s">
        <v>119</v>
      </c>
      <c r="B22" t="s">
        <v>117</v>
      </c>
    </row>
    <row r="23" spans="1:9" x14ac:dyDescent="0.25">
      <c r="A23" s="64" t="s">
        <v>9</v>
      </c>
      <c r="B23" t="s">
        <v>117</v>
      </c>
    </row>
    <row r="25" spans="1:9" x14ac:dyDescent="0.25">
      <c r="A25" s="64" t="s">
        <v>115</v>
      </c>
      <c r="B25" t="s">
        <v>118</v>
      </c>
    </row>
    <row r="26" spans="1:9" x14ac:dyDescent="0.25">
      <c r="A26" s="65" t="s">
        <v>59</v>
      </c>
      <c r="B26" s="63">
        <v>15.29</v>
      </c>
    </row>
    <row r="27" spans="1:9" x14ac:dyDescent="0.25">
      <c r="A27" s="65" t="s">
        <v>66</v>
      </c>
      <c r="B27" s="63">
        <v>131</v>
      </c>
    </row>
    <row r="28" spans="1:9" x14ac:dyDescent="0.25">
      <c r="A28" s="65" t="s">
        <v>150</v>
      </c>
      <c r="B28" s="63">
        <v>70.5</v>
      </c>
    </row>
    <row r="29" spans="1:9" x14ac:dyDescent="0.25">
      <c r="A29" s="65" t="s">
        <v>75</v>
      </c>
      <c r="B29" s="63">
        <v>10</v>
      </c>
    </row>
    <row r="30" spans="1:9" x14ac:dyDescent="0.25">
      <c r="A30" s="65" t="s">
        <v>153</v>
      </c>
      <c r="B30" s="63">
        <v>21</v>
      </c>
    </row>
    <row r="31" spans="1:9" x14ac:dyDescent="0.25">
      <c r="A31" s="65" t="s">
        <v>114</v>
      </c>
      <c r="B31" s="63">
        <v>247.79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G14" sqref="G14"/>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Feuil1</vt:lpstr>
      <vt:lpstr>Code caisse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2013-04-26T14:42:44Z</dcterms:modified>
</cp:coreProperties>
</file>