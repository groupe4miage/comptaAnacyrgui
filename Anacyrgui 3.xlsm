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tables/table2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22.xml" ContentType="application/vnd.openxmlformats-officedocument.spreadsheetml.table+xml"/>
  <Override PartName="/xl/drawings/drawing6.xml" ContentType="application/vnd.openxmlformats-officedocument.drawing+xml"/>
  <Override PartName="/xl/tables/table23.xml" ContentType="application/vnd.openxmlformats-officedocument.spreadsheetml.table+xml"/>
  <Override PartName="/xl/drawings/drawing7.xml" ContentType="application/vnd.openxmlformats-officedocument.drawing+xml"/>
  <Override PartName="/xl/tables/table24.xml" ContentType="application/vnd.openxmlformats-officedocument.spreadsheetml.table+xml"/>
  <Override PartName="/xl/tables/table25.xml" ContentType="application/vnd.openxmlformats-officedocument.spreadsheetml.table+xml"/>
  <Override PartName="/xl/drawings/drawing8.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drawings/drawing9.xml" ContentType="application/vnd.openxmlformats-officedocument.drawing+xml"/>
  <Override PartName="/xl/ctrlProps/ctrlProp1.xml" ContentType="application/vnd.ms-excel.controlproperties+xml"/>
  <Override PartName="/xl/tables/table30.xml" ContentType="application/vnd.openxmlformats-officedocument.spreadsheetml.table+xml"/>
  <Override PartName="/xl/drawings/drawing10.xml" ContentType="application/vnd.openxmlformats-officedocument.drawing+xml"/>
  <Override PartName="/xl/tables/table31.xml" ContentType="application/vnd.openxmlformats-officedocument.spreadsheetml.table+xml"/>
  <Override PartName="/xl/drawings/drawing11.xml" ContentType="application/vnd.openxmlformats-officedocument.drawing+xml"/>
  <Override PartName="/xl/slicers/slicer2.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80" yWindow="30" windowWidth="14115" windowHeight="7230" tabRatio="932" activeTab="7"/>
  </bookViews>
  <sheets>
    <sheet name="Menu" sheetId="4" r:id="rId1"/>
    <sheet name="Gestion des produits" sheetId="8" r:id="rId2"/>
    <sheet name="Gestion des fournisseurs" sheetId="10" r:id="rId3"/>
    <sheet name="Gestion des stocks" sheetId="1" r:id="rId4"/>
    <sheet name="Journal des achats" sheetId="15" r:id="rId5"/>
    <sheet name="Journal des ventes" sheetId="16" r:id="rId6"/>
    <sheet name="Vue des stocks" sheetId="17" r:id="rId7"/>
    <sheet name="Budget Mensuel" sheetId="5" r:id="rId8"/>
    <sheet name="Fiche de caisse" sheetId="14" r:id="rId9"/>
    <sheet name="Historique journée" sheetId="18" r:id="rId10"/>
    <sheet name="Tableau de bord" sheetId="13" r:id="rId11"/>
    <sheet name="Code caisse" sheetId="9" r:id="rId12"/>
    <sheet name="TableauxDynamiques" sheetId="20" r:id="rId13"/>
    <sheet name="BudgetDynamique" sheetId="21" r:id="rId14"/>
  </sheets>
  <definedNames>
    <definedName name="Segment_Année">#N/A</definedName>
    <definedName name="Segment_Année1">#N/A</definedName>
    <definedName name="Segment_Code_caisse">#N/A</definedName>
    <definedName name="Segment_Mois">#N/A</definedName>
    <definedName name="Segment_Mois1">#N/A</definedName>
    <definedName name="ZoneProduits">'Gestion des produits'!$D$15:$G$15377</definedName>
  </definedNames>
  <calcPr calcId="145621"/>
  <pivotCaches>
    <pivotCache cacheId="0" r:id="rId15"/>
    <pivotCache cacheId="1" r:id="rId16"/>
  </pivotCaches>
  <extLs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H24" i="17" l="1"/>
  <c r="I24" i="17"/>
  <c r="H23" i="17"/>
  <c r="I23" i="17"/>
  <c r="K30" i="16"/>
  <c r="N30" i="16"/>
  <c r="O30" i="16"/>
  <c r="C79" i="8"/>
  <c r="C78" i="8"/>
  <c r="C76" i="8"/>
  <c r="H22" i="17" l="1"/>
  <c r="K29" i="16"/>
  <c r="N29" i="16"/>
  <c r="O29" i="16"/>
  <c r="C21" i="10"/>
  <c r="C24" i="8"/>
  <c r="C19" i="8"/>
  <c r="I23" i="5"/>
  <c r="J31" i="5" l="1"/>
  <c r="O18" i="16"/>
  <c r="O19" i="16"/>
  <c r="O20" i="16"/>
  <c r="O21" i="16"/>
  <c r="O22" i="16"/>
  <c r="O23" i="16"/>
  <c r="O24" i="16"/>
  <c r="O25" i="16"/>
  <c r="O26" i="16"/>
  <c r="O27" i="16"/>
  <c r="O28" i="16"/>
  <c r="N18" i="16"/>
  <c r="N19" i="16"/>
  <c r="N20" i="16"/>
  <c r="N21" i="16"/>
  <c r="N22" i="16"/>
  <c r="N23" i="16"/>
  <c r="N24" i="16"/>
  <c r="N25" i="16"/>
  <c r="N26" i="16"/>
  <c r="N27" i="16"/>
  <c r="N28" i="16"/>
  <c r="H21" i="17"/>
  <c r="K28" i="16"/>
  <c r="I18" i="17"/>
  <c r="H18" i="17"/>
  <c r="H19" i="17"/>
  <c r="H20" i="17"/>
  <c r="K27" i="16" l="1"/>
  <c r="K26" i="16"/>
  <c r="K19" i="16"/>
  <c r="K20" i="16"/>
  <c r="K21" i="16"/>
  <c r="K22" i="16"/>
  <c r="K23" i="16"/>
  <c r="K24" i="16"/>
  <c r="K25" i="16"/>
  <c r="K18" i="16"/>
  <c r="H14" i="18"/>
  <c r="H15" i="18" s="1"/>
  <c r="H16" i="18" s="1"/>
  <c r="H17" i="18" s="1"/>
  <c r="H18" i="18" s="1"/>
  <c r="H19" i="18" s="1"/>
  <c r="H20" i="18" s="1"/>
  <c r="H21" i="18" s="1"/>
  <c r="C20" i="10"/>
  <c r="C19" i="10"/>
  <c r="C18" i="10"/>
  <c r="C17" i="10"/>
  <c r="C30" i="8"/>
  <c r="C27" i="8"/>
  <c r="C23" i="8"/>
  <c r="C22" i="8"/>
  <c r="C18" i="8"/>
  <c r="C17" i="8"/>
  <c r="C16" i="8"/>
  <c r="J30" i="5" l="1"/>
  <c r="J29" i="5"/>
  <c r="J26" i="5" l="1"/>
  <c r="J35" i="5"/>
  <c r="J36" i="5" s="1"/>
  <c r="J28" i="5"/>
  <c r="J27" i="5"/>
  <c r="J49" i="5"/>
  <c r="J48" i="5"/>
  <c r="J47" i="5"/>
  <c r="J46" i="5"/>
  <c r="J45" i="5"/>
  <c r="J44" i="5"/>
  <c r="J43" i="5"/>
  <c r="J42" i="5"/>
  <c r="J41" i="5"/>
  <c r="J40" i="5"/>
  <c r="J39" i="5"/>
  <c r="I50" i="5"/>
  <c r="H50" i="5"/>
  <c r="I36" i="5"/>
  <c r="H36" i="5"/>
  <c r="I32" i="5"/>
  <c r="D23" i="5" s="1"/>
  <c r="H32" i="5"/>
  <c r="C23" i="5" s="1"/>
  <c r="J25" i="5"/>
  <c r="J24" i="5"/>
  <c r="J23" i="5"/>
  <c r="C24" i="5" l="1"/>
  <c r="C25" i="5" s="1"/>
  <c r="J50" i="5"/>
  <c r="D24" i="5"/>
  <c r="J32" i="5"/>
  <c r="E23" i="5"/>
  <c r="E24" i="5" l="1"/>
  <c r="D25" i="5"/>
  <c r="E25" i="5"/>
  <c r="D22" i="14" l="1"/>
  <c r="D23" i="14"/>
  <c r="D24" i="14"/>
  <c r="D25" i="14"/>
  <c r="D26" i="14"/>
  <c r="D27" i="14"/>
  <c r="D28" i="14"/>
  <c r="D29" i="14"/>
  <c r="D30" i="14"/>
  <c r="D31" i="14"/>
  <c r="D32" i="14"/>
  <c r="D33" i="14"/>
  <c r="D34" i="14"/>
  <c r="D35" i="14"/>
  <c r="D36" i="14"/>
  <c r="D37" i="14" l="1"/>
  <c r="D73" i="8"/>
  <c r="C73" i="8"/>
  <c r="D70" i="8"/>
  <c r="C70" i="8"/>
  <c r="D67" i="8"/>
  <c r="C67" i="8"/>
  <c r="D64" i="8"/>
  <c r="C64" i="8"/>
  <c r="D61" i="8"/>
  <c r="C61" i="8"/>
  <c r="D58" i="8"/>
  <c r="C58" i="8"/>
  <c r="D55" i="8"/>
  <c r="C55" i="8"/>
  <c r="D52" i="8"/>
  <c r="C52" i="8"/>
  <c r="D49" i="8"/>
  <c r="C49" i="8"/>
  <c r="D46" i="8"/>
  <c r="C46" i="8"/>
  <c r="D43" i="8"/>
  <c r="C43" i="8"/>
  <c r="D40" i="8"/>
  <c r="C40" i="8"/>
  <c r="D37" i="8"/>
  <c r="C37" i="8"/>
  <c r="C34" i="8"/>
  <c r="D34" i="8"/>
  <c r="C31" i="8"/>
  <c r="D31" i="8"/>
  <c r="D28" i="8"/>
  <c r="C28" i="8"/>
  <c r="D25" i="8"/>
  <c r="C25" i="8"/>
  <c r="C20" i="8"/>
  <c r="D20" i="8"/>
  <c r="I22" i="17" s="1"/>
  <c r="C14" i="8"/>
  <c r="D14" i="8"/>
  <c r="B73" i="8"/>
  <c r="B70" i="8"/>
  <c r="B67" i="8"/>
  <c r="B64" i="8"/>
  <c r="B61" i="8"/>
  <c r="B58" i="8"/>
  <c r="B55" i="8"/>
  <c r="B52" i="8"/>
  <c r="B49" i="8"/>
  <c r="B46" i="8"/>
  <c r="B43" i="8"/>
  <c r="B40" i="8"/>
  <c r="B37" i="8"/>
  <c r="B34" i="8"/>
  <c r="B31" i="8"/>
  <c r="B28" i="8"/>
  <c r="B25" i="8"/>
  <c r="B20" i="8"/>
  <c r="B14" i="8"/>
  <c r="I19" i="17" l="1"/>
  <c r="I20" i="17"/>
  <c r="I21" i="17"/>
  <c r="G23" i="14"/>
  <c r="G24" i="14" l="1"/>
  <c r="G25" i="14"/>
</calcChain>
</file>

<file path=xl/sharedStrings.xml><?xml version="1.0" encoding="utf-8"?>
<sst xmlns="http://schemas.openxmlformats.org/spreadsheetml/2006/main" count="479" uniqueCount="180">
  <si>
    <t>Référence produit</t>
  </si>
  <si>
    <t>Désignation</t>
  </si>
  <si>
    <t>Prix de vente</t>
  </si>
  <si>
    <t>Fournisseur</t>
  </si>
  <si>
    <t>Total</t>
  </si>
  <si>
    <t>Référence</t>
  </si>
  <si>
    <t>Quantité</t>
  </si>
  <si>
    <t>Date</t>
  </si>
  <si>
    <t>Marque</t>
  </si>
  <si>
    <t>Code caisse</t>
  </si>
  <si>
    <t>Codes caisses</t>
  </si>
  <si>
    <t>Bonbons</t>
  </si>
  <si>
    <t>Boucles d'oreilles</t>
  </si>
  <si>
    <t>Cosmétiques</t>
  </si>
  <si>
    <t>Cartes cadeaux</t>
  </si>
  <si>
    <t>Echarpes bijoux</t>
  </si>
  <si>
    <t>Bagues</t>
  </si>
  <si>
    <t>Coques de téléphones</t>
  </si>
  <si>
    <t>Cadeaux</t>
  </si>
  <si>
    <t xml:space="preserve">Tatoos </t>
  </si>
  <si>
    <t>Accessoires Ongles</t>
  </si>
  <si>
    <t>Accessoires Tatoos</t>
  </si>
  <si>
    <t>Vernis</t>
  </si>
  <si>
    <t>Bijoux de sac</t>
  </si>
  <si>
    <t>Chainettes chevilles</t>
  </si>
  <si>
    <t>Piercings</t>
  </si>
  <si>
    <t>Clous d'oreilles</t>
  </si>
  <si>
    <t>Bracelets</t>
  </si>
  <si>
    <t>Parrures</t>
  </si>
  <si>
    <t>Colliers</t>
  </si>
  <si>
    <t>Menu principal</t>
  </si>
  <si>
    <t>Gestion des fournisseurs</t>
  </si>
  <si>
    <t>Adresse site</t>
  </si>
  <si>
    <t>Autre contact</t>
  </si>
  <si>
    <t>Gestion des produits</t>
  </si>
  <si>
    <t>Fiche de caisse</t>
  </si>
  <si>
    <t>€</t>
  </si>
  <si>
    <t>TOTAL</t>
  </si>
  <si>
    <t>Fond de caisse debut de journée</t>
  </si>
  <si>
    <t xml:space="preserve">Total à enlever </t>
  </si>
  <si>
    <t>Gestion des stocks</t>
  </si>
  <si>
    <t>Tableau de bord</t>
  </si>
  <si>
    <t>Nombre</t>
  </si>
  <si>
    <t>Fond de caisse théorique fin de journée</t>
  </si>
  <si>
    <t xml:space="preserve">Fond de caisse réel fin de journée </t>
  </si>
  <si>
    <t>Ecart Réel / Théorique</t>
  </si>
  <si>
    <t>Paiements Chèques</t>
  </si>
  <si>
    <t>Journal des achats</t>
  </si>
  <si>
    <t>Journal des ventes</t>
  </si>
  <si>
    <t>Vue des stocks</t>
  </si>
  <si>
    <t>Prix d'achat unitaire</t>
  </si>
  <si>
    <t>Commentaires</t>
  </si>
  <si>
    <t>Prix de vente unitaire</t>
  </si>
  <si>
    <t>BOU001</t>
  </si>
  <si>
    <t>COL001</t>
  </si>
  <si>
    <t>Mode paiement</t>
  </si>
  <si>
    <t>Nature opération</t>
  </si>
  <si>
    <t>Soldes</t>
  </si>
  <si>
    <t>Vente Boutique</t>
  </si>
  <si>
    <t>OUI</t>
  </si>
  <si>
    <t>Espèces</t>
  </si>
  <si>
    <t>Carte cadeau</t>
  </si>
  <si>
    <t>Coût du stock</t>
  </si>
  <si>
    <t>Valeur à la vente</t>
  </si>
  <si>
    <t>BOU002</t>
  </si>
  <si>
    <t>Vente CE</t>
  </si>
  <si>
    <t>Chèque</t>
  </si>
  <si>
    <t>Colonne1</t>
  </si>
  <si>
    <t>Colonne2</t>
  </si>
  <si>
    <t>Colonne3</t>
  </si>
  <si>
    <t>Colonne4</t>
  </si>
  <si>
    <t>g</t>
  </si>
  <si>
    <t>h</t>
  </si>
  <si>
    <t>Vente Foire</t>
  </si>
  <si>
    <t>TOTAUX DU BUDGET</t>
  </si>
  <si>
    <t>ESTIMÉ</t>
  </si>
  <si>
    <t>RÉEL</t>
  </si>
  <si>
    <t>DIFFÉRENCE</t>
  </si>
  <si>
    <t>REVENUS</t>
  </si>
  <si>
    <t>Revenus</t>
  </si>
  <si>
    <t>Chiffre d’affaires net</t>
  </si>
  <si>
    <t>Dépenses</t>
  </si>
  <si>
    <t>Intérêts créditeurs</t>
  </si>
  <si>
    <t>Solde (revenus moins dépenses)</t>
  </si>
  <si>
    <t>Ventes d’actifs (profit/perte)</t>
  </si>
  <si>
    <t>Salaires</t>
  </si>
  <si>
    <t>Personnel total</t>
  </si>
  <si>
    <t>FRAIS D’EXPLOITATION</t>
  </si>
  <si>
    <t>Assurance</t>
  </si>
  <si>
    <t>Fournitures</t>
  </si>
  <si>
    <t>Impôts</t>
  </si>
  <si>
    <t xml:space="preserve"> </t>
  </si>
  <si>
    <t>Loyer</t>
  </si>
  <si>
    <t>Electricité</t>
  </si>
  <si>
    <t>Eau</t>
  </si>
  <si>
    <t>Essence (déplacements)</t>
  </si>
  <si>
    <t>Frais d'envoi</t>
  </si>
  <si>
    <t>Site internet</t>
  </si>
  <si>
    <t>Services (internet, téléphone)</t>
  </si>
  <si>
    <t>PLUS DE TUUUUUNES</t>
  </si>
  <si>
    <t>CHARGES DE PERSONNEL</t>
  </si>
  <si>
    <t>hsdjhqs</t>
  </si>
  <si>
    <t>;dsjlsknds</t>
  </si>
  <si>
    <t>AAAAAAA</t>
  </si>
  <si>
    <t>CCCCCC</t>
  </si>
  <si>
    <t>Météo</t>
  </si>
  <si>
    <t>Fond de caisse fin de journée</t>
  </si>
  <si>
    <t>Nombre de chèques</t>
  </si>
  <si>
    <t>Total chèques</t>
  </si>
  <si>
    <t>CA journée</t>
  </si>
  <si>
    <t>CA cumulé</t>
  </si>
  <si>
    <t>Historique journée</t>
  </si>
  <si>
    <t>Total général</t>
  </si>
  <si>
    <t>Étiquettes de lignes</t>
  </si>
  <si>
    <t>Moyenne de CA journée</t>
  </si>
  <si>
    <t>(Tous)</t>
  </si>
  <si>
    <t>Somme de Total</t>
  </si>
  <si>
    <t>Mois</t>
  </si>
  <si>
    <t>Dragibus</t>
  </si>
  <si>
    <t>MiamBonbon</t>
  </si>
  <si>
    <t>W124J</t>
  </si>
  <si>
    <t>Tagada</t>
  </si>
  <si>
    <t>K4598VFJ</t>
  </si>
  <si>
    <t>Tagada2</t>
  </si>
  <si>
    <t>Bonbonland</t>
  </si>
  <si>
    <t>TEGOJ23</t>
  </si>
  <si>
    <t>Boucles d'oreille Bambi</t>
  </si>
  <si>
    <t>Bijou cools</t>
  </si>
  <si>
    <t>ZIOGH1231</t>
  </si>
  <si>
    <t>Boucles fashion</t>
  </si>
  <si>
    <t>WAHOU1</t>
  </si>
  <si>
    <t>Collier popcorn</t>
  </si>
  <si>
    <t>BALI1</t>
  </si>
  <si>
    <t>Ensemble opales</t>
  </si>
  <si>
    <t>ZGRH1224</t>
  </si>
  <si>
    <t>www.bonbonland.com</t>
  </si>
  <si>
    <t>Délai de livraison 3 semaines</t>
  </si>
  <si>
    <t>contact@bijoucool.com</t>
  </si>
  <si>
    <t>bonne qualité</t>
  </si>
  <si>
    <t>Vernis folie</t>
  </si>
  <si>
    <t>www.lafeteauvernis.fr</t>
  </si>
  <si>
    <t>lots de 10</t>
  </si>
  <si>
    <t>plus cher/ 8€ de frais de livraison</t>
  </si>
  <si>
    <t>BON001</t>
  </si>
  <si>
    <t>promo prix de gros</t>
  </si>
  <si>
    <t>c'est quand meme Bambi...</t>
  </si>
  <si>
    <t>ramené par Cyril</t>
  </si>
  <si>
    <t>approximatif</t>
  </si>
  <si>
    <t>Vente Domicile</t>
  </si>
  <si>
    <t>PAR001</t>
  </si>
  <si>
    <t>prix vente groupée</t>
  </si>
  <si>
    <t>Vente Internet</t>
  </si>
  <si>
    <t>Coût d'achat unitaire (PEPS)</t>
  </si>
  <si>
    <t>Année</t>
  </si>
  <si>
    <t>janvier</t>
  </si>
  <si>
    <t>mars</t>
  </si>
  <si>
    <t>avril</t>
  </si>
  <si>
    <t>mai</t>
  </si>
  <si>
    <t>décembre</t>
  </si>
  <si>
    <t>2013</t>
  </si>
  <si>
    <t>2012</t>
  </si>
  <si>
    <t>Étiquettes de colonnes</t>
  </si>
  <si>
    <t>Boucles d'or</t>
  </si>
  <si>
    <t>gnagnagna</t>
  </si>
  <si>
    <t>Fraises roses</t>
  </si>
  <si>
    <t>Bijoux cailloux choux</t>
  </si>
  <si>
    <t>COOLLL</t>
  </si>
  <si>
    <t>Bijoux cools</t>
  </si>
  <si>
    <t>BOU003</t>
  </si>
  <si>
    <t>29/04/2013</t>
  </si>
  <si>
    <t>test</t>
  </si>
  <si>
    <t>testttttttttt</t>
  </si>
  <si>
    <t>REEL</t>
  </si>
  <si>
    <t>Budget mensuel</t>
  </si>
  <si>
    <t>Montres</t>
  </si>
  <si>
    <t>Montre jolie</t>
  </si>
  <si>
    <t>ABE</t>
  </si>
  <si>
    <t>MON001</t>
  </si>
  <si>
    <t>montre test</t>
  </si>
  <si>
    <t>MON002</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</si>
</sst>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8" formatCode="#,##0.00\ &quot;€&quot;;[Red]\-#,##0.00\ &quot;€&quot;"/>
    <numFmt numFmtId="165" formatCode="_(* #,##0.00_);_(* \(#,##0.00\);_(* &quot;-&quot;??_);_(@_)"/>
    <numFmt numFmtId="166" formatCode="#,##0.00\ &quot;€&quot;"/>
    <numFmt numFmtId="167" formatCode="0.0%"/>
    <numFmt numFmtId="168" formatCode="mmmm\ yyyy"/>
    <numFmt numFmtId="169" formatCode="#,##0.00\ _€"/>
    <numFmt numFmtId="172" formatCode="m/d/yyyy"/>
  </numFmts>
  <fonts count="16" x14ac:knownFonts="1">
    <font>
      <sz val="11"/>
      <color theme="1"/>
      <name val="Calibri"/>
      <family val="2"/>
      <scheme val="minor"/>
    </font>
    <font>
      <u/>
      <sz val="11"/>
      <color theme="10"/>
      <name val="Calibri"/>
      <family val="2"/>
      <scheme val="minor"/>
    </font>
    <font>
      <b/>
      <sz val="11"/>
      <color theme="4" tint="9.9978637043366805E-2"/>
      <name val="Calibri"/>
      <family val="2"/>
      <scheme val="minor"/>
    </font>
    <font>
      <i/>
      <sz val="18"/>
      <color theme="4" tint="9.9978637043366805E-2"/>
      <name val="Calibri"/>
      <family val="2"/>
      <scheme val="minor"/>
    </font>
    <font>
      <b/>
      <sz val="16"/>
      <color theme="4" tint="9.9978637043366805E-2"/>
      <name val="Calibri"/>
      <family val="2"/>
      <scheme val="minor"/>
    </font>
    <font>
      <b/>
      <sz val="11"/>
      <color theme="1"/>
      <name val="Calibri"/>
      <family val="2"/>
      <scheme val="minor"/>
    </font>
    <font>
      <sz val="12"/>
      <color theme="1"/>
      <name val="Calibri"/>
      <family val="2"/>
      <scheme val="minor"/>
    </font>
    <font>
      <b/>
      <sz val="12"/>
      <color theme="0"/>
      <name val="Calibri"/>
      <family val="2"/>
      <scheme val="minor"/>
    </font>
    <font>
      <sz val="14"/>
      <color theme="1"/>
      <name val="Calibri"/>
      <family val="2"/>
      <scheme val="minor"/>
    </font>
    <font>
      <b/>
      <sz val="12"/>
      <color theme="1"/>
      <name val="Calibri"/>
      <family val="2"/>
      <scheme val="minor"/>
    </font>
    <font>
      <b/>
      <sz val="18"/>
      <color theme="0"/>
      <name val="Calibri"/>
      <family val="2"/>
      <scheme val="minor"/>
    </font>
    <font>
      <b/>
      <sz val="16"/>
      <color theme="1"/>
      <name val="Calibri"/>
      <family val="2"/>
      <scheme val="minor"/>
    </font>
    <font>
      <b/>
      <sz val="11"/>
      <color theme="0"/>
      <name val="Calibri"/>
      <family val="2"/>
      <scheme val="minor"/>
    </font>
    <font>
      <sz val="11"/>
      <color theme="1"/>
      <name val="Calibri"/>
      <family val="2"/>
      <scheme val="minor"/>
    </font>
    <font>
      <sz val="12"/>
      <color theme="3"/>
      <name val="Calibri"/>
      <family val="2"/>
      <scheme val="minor"/>
    </font>
    <font>
      <sz val="11"/>
      <color theme="1"/>
      <name val="Calibri"/>
      <family val="2"/>
      <scheme val="minor"/>
    </font>
  </fonts>
  <fills count="8">
    <fill>
      <patternFill patternType="none"/>
    </fill>
    <fill>
      <patternFill patternType="gray125"/>
    </fill>
    <fill>
      <patternFill patternType="solid">
        <fgColor theme="4" tint="9.9978637043366805E-2"/>
        <bgColor indexed="64"/>
      </patternFill>
    </fill>
    <fill>
      <patternFill patternType="solid">
        <fgColor theme="4" tint="0.249977111117893"/>
        <bgColor indexed="64"/>
      </patternFill>
    </fill>
    <fill>
      <patternFill patternType="solid">
        <fgColor theme="4" tint="0.749992370372631"/>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s>
  <borders count="6">
    <border>
      <left/>
      <right/>
      <top/>
      <bottom/>
      <diagonal/>
    </border>
    <border>
      <left style="thin">
        <color theme="4" tint="0.499984740745262"/>
      </left>
      <right style="thin">
        <color theme="4" tint="0.499984740745262"/>
      </right>
      <top style="thin">
        <color theme="4" tint="0.499984740745262"/>
      </top>
      <bottom style="thin">
        <color theme="4" tint="0.499984740745262"/>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4">
    <xf numFmtId="0" fontId="0" fillId="0" borderId="0"/>
    <xf numFmtId="0" fontId="1" fillId="0" borderId="0" applyNumberFormat="0" applyFill="0" applyBorder="0" applyAlignment="0" applyProtection="0"/>
    <xf numFmtId="165" fontId="13" fillId="0" borderId="0" applyFont="0" applyFill="0" applyBorder="0" applyAlignment="0" applyProtection="0"/>
    <xf numFmtId="9" fontId="13" fillId="0" borderId="0" applyFont="0" applyFill="0" applyBorder="0" applyAlignment="0" applyProtection="0"/>
  </cellStyleXfs>
  <cellXfs count="113">
    <xf numFmtId="0" fontId="0" fillId="0" borderId="0" xfId="0"/>
    <xf numFmtId="0" fontId="1" fillId="0" borderId="0" xfId="1" quotePrefix="1"/>
    <xf numFmtId="0" fontId="3" fillId="0" borderId="0" xfId="0" applyFont="1"/>
    <xf numFmtId="0" fontId="0" fillId="0" borderId="0" xfId="0" applyNumberFormat="1" applyAlignment="1">
      <alignment wrapText="1"/>
    </xf>
    <xf numFmtId="0" fontId="2" fillId="0" borderId="0" xfId="0" applyNumberFormat="1" applyFont="1" applyAlignment="1">
      <alignment horizontal="left" wrapText="1"/>
    </xf>
    <xf numFmtId="0" fontId="3" fillId="0" borderId="0" xfId="0" applyFont="1" applyAlignment="1">
      <alignment wrapText="1"/>
    </xf>
    <xf numFmtId="0" fontId="0" fillId="0" borderId="0" xfId="0" applyAlignment="1">
      <alignment wrapText="1"/>
    </xf>
    <xf numFmtId="0" fontId="6" fillId="0" borderId="0" xfId="0" applyFont="1" applyAlignment="1">
      <alignment horizontal="center" vertical="center"/>
    </xf>
    <xf numFmtId="166" fontId="5" fillId="0" borderId="0" xfId="0" applyNumberFormat="1" applyFont="1" applyAlignment="1">
      <alignment horizontal="center" vertical="center"/>
    </xf>
    <xf numFmtId="166" fontId="9" fillId="0" borderId="0" xfId="0" applyNumberFormat="1" applyFont="1" applyAlignment="1">
      <alignment horizontal="center"/>
    </xf>
    <xf numFmtId="0" fontId="7" fillId="2" borderId="1" xfId="0" applyFont="1" applyFill="1" applyBorder="1"/>
    <xf numFmtId="0" fontId="7" fillId="3" borderId="1" xfId="0" applyFont="1" applyFill="1" applyBorder="1"/>
    <xf numFmtId="166" fontId="6" fillId="4" borderId="1" xfId="0" applyNumberFormat="1" applyFont="1" applyFill="1" applyBorder="1"/>
    <xf numFmtId="166" fontId="6" fillId="0" borderId="1" xfId="0" applyNumberFormat="1" applyFont="1" applyBorder="1"/>
    <xf numFmtId="166" fontId="11" fillId="4" borderId="1" xfId="0" applyNumberFormat="1" applyFont="1" applyFill="1" applyBorder="1"/>
    <xf numFmtId="166" fontId="8" fillId="5" borderId="1" xfId="0" applyNumberFormat="1" applyFont="1" applyFill="1" applyBorder="1"/>
    <xf numFmtId="0" fontId="10" fillId="2" borderId="1" xfId="0" applyFont="1" applyFill="1" applyBorder="1"/>
    <xf numFmtId="166" fontId="4" fillId="0" borderId="1" xfId="0" applyNumberFormat="1" applyFont="1" applyBorder="1" applyAlignment="1">
      <alignment horizontal="center"/>
    </xf>
    <xf numFmtId="0" fontId="0" fillId="0" borderId="0" xfId="0" applyAlignment="1">
      <alignment horizontal="center" vertical="center" wrapText="1"/>
    </xf>
    <xf numFmtId="0" fontId="0" fillId="0" borderId="0" xfId="0" applyAlignment="1">
      <alignment horizontal="right" vertical="center" wrapText="1"/>
    </xf>
    <xf numFmtId="14" fontId="0" fillId="0" borderId="0" xfId="0" applyNumberFormat="1" applyAlignment="1">
      <alignment horizontal="right" vertical="center" wrapText="1"/>
    </xf>
    <xf numFmtId="166" fontId="0" fillId="0" borderId="0" xfId="0" applyNumberFormat="1" applyAlignment="1">
      <alignment horizontal="center" vertical="center" wrapText="1"/>
    </xf>
    <xf numFmtId="166" fontId="0" fillId="0" borderId="0" xfId="0" applyNumberFormat="1" applyAlignment="1">
      <alignment horizontal="right" vertical="center" wrapText="1"/>
    </xf>
    <xf numFmtId="166" fontId="0" fillId="0" borderId="0" xfId="0" applyNumberFormat="1" applyAlignment="1">
      <alignment wrapText="1"/>
    </xf>
    <xf numFmtId="0" fontId="0" fillId="7" borderId="2" xfId="0" applyFont="1" applyFill="1" applyBorder="1" applyAlignment="1">
      <alignment wrapText="1"/>
    </xf>
    <xf numFmtId="0" fontId="12" fillId="6" borderId="2" xfId="0" applyFont="1" applyFill="1" applyBorder="1" applyAlignment="1">
      <alignment horizontal="center" vertical="center" wrapText="1"/>
    </xf>
    <xf numFmtId="0" fontId="0" fillId="0" borderId="0" xfId="0" applyAlignment="1">
      <alignment horizontal="center" wrapText="1"/>
    </xf>
    <xf numFmtId="0" fontId="2" fillId="0" borderId="0" xfId="0" applyFont="1" applyAlignment="1">
      <alignment horizontal="center" wrapText="1"/>
    </xf>
    <xf numFmtId="0" fontId="2" fillId="0" borderId="0" xfId="0" applyFont="1" applyAlignment="1">
      <alignment horizontal="right" wrapText="1"/>
    </xf>
    <xf numFmtId="14" fontId="0" fillId="0" borderId="0" xfId="0" applyNumberFormat="1" applyAlignment="1">
      <alignment wrapText="1"/>
    </xf>
    <xf numFmtId="14" fontId="0" fillId="0" borderId="0" xfId="0" applyNumberFormat="1" applyAlignment="1">
      <alignment horizontal="center" vertical="center" wrapText="1"/>
    </xf>
    <xf numFmtId="0" fontId="3" fillId="0" borderId="0" xfId="0" applyFont="1" applyAlignment="1">
      <alignment horizontal="center" vertical="center"/>
    </xf>
    <xf numFmtId="0" fontId="0" fillId="0" borderId="0" xfId="0" applyNumberFormat="1"/>
    <xf numFmtId="0" fontId="0" fillId="0" borderId="0" xfId="0" pivotButton="1"/>
    <xf numFmtId="0" fontId="0" fillId="0" borderId="0" xfId="0" applyAlignment="1">
      <alignment horizontal="left"/>
    </xf>
    <xf numFmtId="168" fontId="0" fillId="0" borderId="0" xfId="0" applyNumberFormat="1" applyAlignment="1">
      <alignment wrapText="1"/>
    </xf>
    <xf numFmtId="168" fontId="0" fillId="0" borderId="0" xfId="0" applyNumberFormat="1" applyAlignment="1">
      <alignment horizontal="center" vertical="center" wrapText="1"/>
    </xf>
    <xf numFmtId="168" fontId="0" fillId="0" borderId="0" xfId="0" applyNumberFormat="1" applyAlignment="1">
      <alignment horizontal="right" vertical="center" wrapText="1"/>
    </xf>
    <xf numFmtId="166" fontId="3" fillId="0" borderId="0" xfId="0" applyNumberFormat="1" applyFont="1" applyAlignment="1">
      <alignment horizontal="left" wrapText="1"/>
    </xf>
    <xf numFmtId="0" fontId="0" fillId="7" borderId="4" xfId="0" applyFont="1" applyFill="1" applyBorder="1" applyAlignment="1">
      <alignment wrapText="1"/>
    </xf>
    <xf numFmtId="166" fontId="0" fillId="7" borderId="4" xfId="0" applyNumberFormat="1" applyFont="1" applyFill="1" applyBorder="1" applyAlignment="1">
      <alignment wrapText="1"/>
    </xf>
    <xf numFmtId="166" fontId="0" fillId="7" borderId="5" xfId="0" applyNumberFormat="1" applyFont="1" applyFill="1" applyBorder="1" applyAlignment="1">
      <alignment wrapText="1"/>
    </xf>
    <xf numFmtId="166" fontId="0" fillId="7" borderId="2" xfId="0" applyNumberFormat="1" applyFont="1" applyFill="1" applyBorder="1" applyAlignment="1">
      <alignment wrapText="1"/>
    </xf>
    <xf numFmtId="166" fontId="0" fillId="7" borderId="3" xfId="0" applyNumberFormat="1" applyFont="1" applyFill="1" applyBorder="1" applyAlignment="1">
      <alignment wrapText="1"/>
    </xf>
    <xf numFmtId="0" fontId="0" fillId="7" borderId="2" xfId="0" applyFont="1" applyFill="1" applyBorder="1" applyAlignment="1">
      <alignment horizontal="center" vertical="center" wrapText="1"/>
    </xf>
    <xf numFmtId="0" fontId="0" fillId="7" borderId="4" xfId="0" applyFont="1" applyFill="1" applyBorder="1" applyAlignment="1">
      <alignment horizontal="center" vertical="center" wrapText="1"/>
    </xf>
    <xf numFmtId="166" fontId="12" fillId="6" borderId="2" xfId="0" applyNumberFormat="1" applyFont="1" applyFill="1" applyBorder="1" applyAlignment="1">
      <alignment horizontal="center" vertical="center" wrapText="1"/>
    </xf>
    <xf numFmtId="166" fontId="12" fillId="6" borderId="3" xfId="0" applyNumberFormat="1" applyFont="1" applyFill="1" applyBorder="1" applyAlignment="1">
      <alignment horizontal="center" vertical="center" wrapText="1"/>
    </xf>
    <xf numFmtId="0" fontId="0" fillId="0" borderId="0" xfId="0" applyAlignment="1">
      <alignment horizontal="left" indent="1"/>
    </xf>
    <xf numFmtId="0" fontId="0" fillId="0" borderId="0" xfId="0" applyAlignment="1">
      <alignment horizontal="center"/>
    </xf>
    <xf numFmtId="0" fontId="15" fillId="7" borderId="4" xfId="0" applyFont="1" applyFill="1" applyBorder="1" applyAlignment="1">
      <alignment horizontal="center" vertical="center" wrapText="1"/>
    </xf>
    <xf numFmtId="0" fontId="15" fillId="7" borderId="4" xfId="0" applyFont="1" applyFill="1" applyBorder="1" applyAlignment="1">
      <alignment wrapText="1"/>
    </xf>
    <xf numFmtId="166" fontId="15" fillId="7" borderId="4" xfId="0" applyNumberFormat="1" applyFont="1" applyFill="1" applyBorder="1" applyAlignment="1">
      <alignment wrapText="1"/>
    </xf>
    <xf numFmtId="166" fontId="15" fillId="7" borderId="5" xfId="0" applyNumberFormat="1" applyFont="1" applyFill="1" applyBorder="1" applyAlignment="1">
      <alignment wrapText="1"/>
    </xf>
    <xf numFmtId="0" fontId="0" fillId="0" borderId="0" xfId="0" applyAlignment="1" applyProtection="1">
      <alignment horizontal="center"/>
      <protection locked="0"/>
    </xf>
    <xf numFmtId="0" fontId="6" fillId="0" borderId="1" xfId="0" applyFont="1" applyBorder="1" applyProtection="1">
      <protection locked="0"/>
    </xf>
    <xf numFmtId="166" fontId="11" fillId="4" borderId="1" xfId="0" applyNumberFormat="1" applyFont="1" applyFill="1" applyBorder="1" applyProtection="1">
      <protection locked="0"/>
    </xf>
    <xf numFmtId="166" fontId="6" fillId="4" borderId="1" xfId="0" applyNumberFormat="1" applyFont="1" applyFill="1" applyBorder="1" applyProtection="1">
      <protection locked="0"/>
    </xf>
    <xf numFmtId="0" fontId="0" fillId="0" borderId="0" xfId="0" applyAlignment="1">
      <alignment horizontal="center" vertical="center"/>
    </xf>
    <xf numFmtId="166" fontId="0" fillId="0" borderId="0" xfId="2" applyNumberFormat="1" applyFont="1" applyFill="1" applyBorder="1" applyProtection="1"/>
    <xf numFmtId="166" fontId="0" fillId="0" borderId="0" xfId="0" applyNumberFormat="1" applyProtection="1"/>
    <xf numFmtId="0" fontId="0" fillId="0" borderId="0" xfId="0" applyProtection="1"/>
    <xf numFmtId="169" fontId="0" fillId="0" borderId="0" xfId="0" applyNumberFormat="1" applyProtection="1"/>
    <xf numFmtId="0" fontId="0" fillId="0" borderId="0" xfId="0" applyFill="1" applyProtection="1"/>
    <xf numFmtId="169" fontId="0" fillId="0" borderId="0" xfId="0" applyNumberFormat="1" applyFill="1" applyProtection="1"/>
    <xf numFmtId="166" fontId="0" fillId="0" borderId="0" xfId="0" applyNumberFormat="1" applyFill="1" applyProtection="1"/>
    <xf numFmtId="0" fontId="0" fillId="0" borderId="0" xfId="0" applyFill="1" applyAlignment="1" applyProtection="1">
      <alignment vertical="center"/>
    </xf>
    <xf numFmtId="0" fontId="0" fillId="0" borderId="0" xfId="0" applyAlignment="1" applyProtection="1">
      <alignment horizontal="center" wrapText="1"/>
    </xf>
    <xf numFmtId="0" fontId="0" fillId="0" borderId="0" xfId="0" applyAlignment="1" applyProtection="1">
      <alignment wrapText="1"/>
    </xf>
    <xf numFmtId="0" fontId="0" fillId="0" borderId="0" xfId="0" applyNumberFormat="1" applyAlignment="1" applyProtection="1">
      <alignment wrapText="1"/>
    </xf>
    <xf numFmtId="166" fontId="0" fillId="0" borderId="0" xfId="0" applyNumberFormat="1" applyAlignment="1" applyProtection="1">
      <alignment wrapText="1"/>
    </xf>
    <xf numFmtId="0" fontId="0" fillId="0" borderId="0" xfId="0" applyFont="1" applyFill="1" applyBorder="1" applyAlignment="1" applyProtection="1">
      <alignment horizontal="left" vertical="center" indent="1"/>
    </xf>
    <xf numFmtId="169" fontId="0" fillId="0" borderId="0" xfId="0" applyNumberFormat="1" applyFont="1" applyFill="1" applyBorder="1" applyAlignment="1" applyProtection="1">
      <alignment vertical="center"/>
    </xf>
    <xf numFmtId="166" fontId="0" fillId="0" borderId="0" xfId="0" applyNumberFormat="1" applyFont="1" applyFill="1" applyBorder="1" applyAlignment="1" applyProtection="1">
      <alignment vertical="center"/>
    </xf>
    <xf numFmtId="0" fontId="0" fillId="0" borderId="0" xfId="0" applyFont="1" applyFill="1" applyBorder="1" applyAlignment="1" applyProtection="1">
      <alignment horizontal="left" indent="1"/>
    </xf>
    <xf numFmtId="169" fontId="0" fillId="0" borderId="0" xfId="2" applyNumberFormat="1" applyFont="1" applyFill="1" applyBorder="1" applyProtection="1"/>
    <xf numFmtId="40" fontId="0" fillId="0" borderId="0" xfId="0" applyNumberFormat="1" applyFont="1" applyFill="1" applyBorder="1" applyProtection="1"/>
    <xf numFmtId="40" fontId="0" fillId="0" borderId="0" xfId="2" applyNumberFormat="1" applyFont="1" applyFill="1" applyBorder="1" applyProtection="1"/>
    <xf numFmtId="0" fontId="0" fillId="0" borderId="0" xfId="0" applyFill="1" applyAlignment="1" applyProtection="1">
      <alignment horizontal="center"/>
    </xf>
    <xf numFmtId="169" fontId="0" fillId="0" borderId="0" xfId="0" applyNumberFormat="1" applyFont="1" applyFill="1" applyBorder="1" applyProtection="1"/>
    <xf numFmtId="166" fontId="0" fillId="0" borderId="0" xfId="0" applyNumberFormat="1" applyFont="1" applyFill="1" applyBorder="1" applyProtection="1"/>
    <xf numFmtId="169" fontId="0" fillId="0" borderId="0" xfId="0" applyNumberFormat="1" applyFill="1" applyAlignment="1" applyProtection="1">
      <alignment horizontal="center"/>
    </xf>
    <xf numFmtId="166" fontId="0" fillId="0" borderId="0" xfId="0" applyNumberFormat="1" applyFill="1" applyAlignment="1" applyProtection="1">
      <alignment horizontal="center"/>
    </xf>
    <xf numFmtId="9" fontId="0" fillId="0" borderId="0" xfId="3" applyFont="1" applyFill="1" applyAlignment="1" applyProtection="1">
      <alignment horizontal="right"/>
    </xf>
    <xf numFmtId="0" fontId="14" fillId="0" borderId="0" xfId="0" applyFont="1" applyFill="1" applyAlignment="1" applyProtection="1">
      <alignment vertical="center"/>
    </xf>
    <xf numFmtId="0" fontId="0" fillId="0" borderId="0" xfId="0" applyFont="1" applyFill="1" applyBorder="1" applyAlignment="1" applyProtection="1">
      <alignment vertical="center"/>
    </xf>
    <xf numFmtId="165" fontId="0" fillId="0" borderId="0" xfId="2" applyNumberFormat="1" applyFont="1" applyFill="1" applyBorder="1" applyProtection="1"/>
    <xf numFmtId="167" fontId="0" fillId="0" borderId="0" xfId="3" applyNumberFormat="1" applyFont="1" applyFill="1" applyBorder="1" applyProtection="1"/>
    <xf numFmtId="165" fontId="0" fillId="0" borderId="0" xfId="2" applyFont="1" applyFill="1" applyBorder="1" applyProtection="1"/>
    <xf numFmtId="165" fontId="0" fillId="0" borderId="0" xfId="0" applyNumberFormat="1" applyFont="1" applyFill="1" applyBorder="1" applyProtection="1"/>
    <xf numFmtId="167" fontId="0" fillId="0" borderId="0" xfId="0" applyNumberFormat="1" applyFont="1" applyFill="1" applyBorder="1" applyProtection="1"/>
    <xf numFmtId="0" fontId="3" fillId="0" borderId="0" xfId="0" applyFont="1" applyAlignment="1">
      <alignment horizontal="right" wrapText="1"/>
    </xf>
    <xf numFmtId="0" fontId="3" fillId="0" borderId="0" xfId="0" applyFont="1" applyAlignment="1">
      <alignment horizontal="left" vertical="center" wrapText="1"/>
    </xf>
    <xf numFmtId="0" fontId="0" fillId="0" borderId="0" xfId="0" applyAlignment="1">
      <alignment horizontal="center"/>
    </xf>
    <xf numFmtId="166" fontId="3" fillId="0" borderId="0" xfId="0" applyNumberFormat="1" applyFont="1" applyAlignment="1">
      <alignment horizontal="center" wrapText="1"/>
    </xf>
    <xf numFmtId="0" fontId="3" fillId="0" borderId="0" xfId="0" applyFont="1" applyAlignment="1">
      <alignment horizontal="center" wrapText="1"/>
    </xf>
    <xf numFmtId="165" fontId="0" fillId="0" borderId="0" xfId="0" applyNumberFormat="1" applyFill="1" applyAlignment="1" applyProtection="1">
      <alignment horizontal="center"/>
    </xf>
    <xf numFmtId="0" fontId="3" fillId="0" borderId="0" xfId="0" applyFont="1" applyAlignment="1" applyProtection="1">
      <alignment horizontal="center"/>
    </xf>
    <xf numFmtId="0" fontId="4" fillId="0" borderId="1" xfId="0" applyFont="1" applyBorder="1" applyAlignment="1">
      <alignment horizontal="center"/>
    </xf>
    <xf numFmtId="166" fontId="3" fillId="0" borderId="0" xfId="0" applyNumberFormat="1" applyFont="1" applyAlignment="1">
      <alignment horizontal="center" vertical="center"/>
    </xf>
    <xf numFmtId="172" fontId="0" fillId="0" borderId="0" xfId="0" applyNumberFormat="1" applyAlignment="1">
      <alignment horizontal="right" vertical="center" wrapText="1"/>
    </xf>
    <xf numFmtId="8" fontId="0" fillId="0" borderId="0" xfId="0" applyNumberFormat="1" applyProtection="1"/>
    <xf numFmtId="8" fontId="0" fillId="0" borderId="0" xfId="0" applyNumberFormat="1" applyFill="1" applyProtection="1"/>
    <xf numFmtId="8" fontId="0" fillId="0" borderId="0" xfId="0" applyNumberFormat="1" applyFont="1" applyFill="1" applyBorder="1" applyAlignment="1" applyProtection="1">
      <alignment vertical="center"/>
    </xf>
    <xf numFmtId="8" fontId="0" fillId="0" borderId="0" xfId="2" applyNumberFormat="1" applyFont="1" applyFill="1" applyBorder="1" applyProtection="1"/>
    <xf numFmtId="8" fontId="0" fillId="0" borderId="0" xfId="0" applyNumberFormat="1" applyFont="1" applyFill="1" applyBorder="1" applyProtection="1"/>
    <xf numFmtId="8" fontId="0" fillId="0" borderId="0" xfId="0" applyNumberFormat="1" applyFill="1" applyAlignment="1" applyProtection="1">
      <alignment horizontal="center"/>
    </xf>
    <xf numFmtId="40" fontId="0" fillId="0" borderId="0" xfId="0" applyNumberFormat="1" applyProtection="1"/>
    <xf numFmtId="40" fontId="0" fillId="0" borderId="0" xfId="0" applyNumberFormat="1" applyFill="1" applyProtection="1"/>
    <xf numFmtId="40" fontId="0" fillId="0" borderId="0" xfId="0" applyNumberFormat="1" applyAlignment="1" applyProtection="1">
      <alignment wrapText="1"/>
    </xf>
    <xf numFmtId="40" fontId="0" fillId="0" borderId="0" xfId="0" applyNumberFormat="1" applyFill="1" applyAlignment="1" applyProtection="1"/>
    <xf numFmtId="40" fontId="14" fillId="0" borderId="0" xfId="0" applyNumberFormat="1" applyFont="1" applyFill="1" applyAlignment="1" applyProtection="1">
      <alignment vertical="center"/>
    </xf>
    <xf numFmtId="40" fontId="0" fillId="0" borderId="0" xfId="0" applyNumberFormat="1" applyFont="1" applyFill="1" applyBorder="1" applyAlignment="1" applyProtection="1">
      <alignment vertical="center"/>
    </xf>
  </cellXfs>
  <cellStyles count="4">
    <cellStyle name="Lien hypertexte" xfId="1" builtinId="8"/>
    <cellStyle name="Milliers" xfId="2" builtinId="3"/>
    <cellStyle name="Normal" xfId="0" builtinId="0"/>
    <cellStyle name="Pourcentage" xfId="3" builtinId="5"/>
  </cellStyles>
  <dxfs count="280">
    <dxf>
      <numFmt numFmtId="8" formatCode="#,##0.00\ _€;[Red]\-#,##0.00\ _€"/>
      <fill>
        <patternFill patternType="none">
          <fgColor indexed="64"/>
          <bgColor auto="1"/>
        </patternFill>
      </fill>
      <protection locked="1" hidden="0"/>
    </dxf>
    <dxf>
      <numFmt numFmtId="8" formatCode="#,##0.00\ _€;[Red]\-#,##0.00\ _€"/>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numFmt numFmtId="12" formatCode="#,##0.00\ &quot;€&quot;;[Red]\-#,##0.00\ &quot;€&quot;"/>
      <fill>
        <patternFill patternType="none">
          <fgColor indexed="64"/>
          <bgColor indexed="65"/>
        </patternFill>
      </fill>
      <protection locked="1" hidden="0"/>
    </dxf>
    <dxf>
      <numFmt numFmtId="12" formatCode="#,##0.00\ &quot;€&quot;;[Red]\-#,##0.00\ &quot;€&quot;"/>
      <fill>
        <patternFill patternType="none">
          <fgColor indexed="64"/>
          <bgColor auto="1"/>
        </patternFill>
      </fill>
      <protection locked="1" hidden="0"/>
    </dxf>
    <dxf>
      <font>
        <b val="0"/>
        <i val="0"/>
        <strike val="0"/>
        <condense val="0"/>
        <extend val="0"/>
        <outline val="0"/>
        <shadow val="0"/>
        <u val="none"/>
        <vertAlign val="baseline"/>
        <sz val="11"/>
        <color theme="1"/>
        <name val="Calibri"/>
        <scheme val="minor"/>
      </font>
      <numFmt numFmtId="12" formatCode="#,##0.00\ &quot;€&quot;;[Red]\-#,##0.00\ &quot;€&quot;"/>
      <fill>
        <patternFill patternType="none">
          <fgColor indexed="64"/>
          <bgColor indexed="65"/>
        </patternFill>
      </fill>
      <protection locked="1" hidden="0"/>
    </dxf>
    <dxf>
      <numFmt numFmtId="12" formatCode="#,##0.00\ &quot;€&quot;;[Red]\-#,##0.00\ &quot;€&quot;"/>
      <fill>
        <patternFill patternType="none">
          <fgColor indexed="64"/>
          <bgColor auto="1"/>
        </patternFill>
      </fill>
      <protection locked="1" hidden="0"/>
    </dxf>
    <dxf>
      <numFmt numFmtId="12" formatCode="#,##0.00\ &quot;€&quot;;[Red]\-#,##0.00\ &quot;€&quot;"/>
      <fill>
        <patternFill patternType="none">
          <fgColor indexed="64"/>
          <bgColor indexed="65"/>
        </patternFill>
      </fill>
      <protection locked="1" hidden="0"/>
    </dxf>
    <dxf>
      <numFmt numFmtId="12" formatCode="#,##0.00\ &quot;€&quot;;[Red]\-#,##0.00\ &quot;€&quot;"/>
      <fill>
        <patternFill patternType="none">
          <fgColor indexed="64"/>
          <bgColor auto="1"/>
        </patternFill>
      </fill>
      <protection locked="1" hidden="0"/>
    </dxf>
    <dxf>
      <font>
        <b/>
        <i val="0"/>
        <color rgb="FFFF9900"/>
      </font>
    </dxf>
    <dxf>
      <font>
        <b/>
        <i val="0"/>
        <color rgb="FF00CC00"/>
      </font>
    </dxf>
    <dxf>
      <font>
        <b/>
        <i val="0"/>
        <color rgb="FFFF0000"/>
      </font>
    </dxf>
    <dxf>
      <numFmt numFmtId="166" formatCode="#,##0.00\ &quot;€&quot;"/>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6" formatCode="#,##0.00\ &quot;€&quo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bottom" textRotation="0" wrapText="1" indent="0" justifyLastLine="0" shrinkToFit="0" readingOrder="0"/>
    </dxf>
    <dxf>
      <numFmt numFmtId="166" formatCode="#,##0.00\ &quot;€&quot;"/>
      <alignment horizontal="right" vertical="center" textRotation="0" wrapText="1" indent="0" justifyLastLine="0" shrinkToFit="0" readingOrder="0"/>
    </dxf>
    <dxf>
      <numFmt numFmtId="166" formatCode="#,##0.00\ &quot;€&quot;"/>
      <alignment horizontal="general" vertical="bottom" textRotation="0" wrapText="1" indent="0" justifyLastLine="0" shrinkToFit="0" readingOrder="0"/>
    </dxf>
    <dxf>
      <numFmt numFmtId="166" formatCode="#,##0.00\ &quot;€&quot;"/>
      <alignment horizontal="general" vertical="bottom" textRotation="0" wrapText="1" indent="0" justifyLastLine="0" shrinkToFit="0" readingOrder="0"/>
    </dxf>
    <dxf>
      <numFmt numFmtId="166" formatCode="#,##0.00\ &quot;€&quot;"/>
      <alignment horizontal="general" vertical="bottom" textRotation="0" wrapText="1" indent="0" justifyLastLine="0" shrinkToFit="0" readingOrder="0"/>
    </dxf>
    <dxf>
      <alignment horizontal="center" vertical="bottom" textRotation="0" wrapText="1" indent="0" justifyLastLine="0" shrinkToFit="0" readingOrder="0"/>
    </dxf>
    <dxf>
      <numFmt numFmtId="166" formatCode="#,##0.00\ &quot;€&quot;"/>
      <alignment horizontal="general" vertical="bottom"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center" textRotation="0" wrapText="1" indent="0" justifyLastLine="0" shrinkToFit="0" readingOrder="0"/>
    </dxf>
    <dxf>
      <font>
        <b/>
        <strike val="0"/>
        <outline val="0"/>
        <shadow val="0"/>
        <u val="none"/>
        <vertAlign val="baseline"/>
        <sz val="12"/>
        <color theme="1"/>
        <name val="Calibri"/>
        <scheme val="minor"/>
      </font>
      <numFmt numFmtId="166" formatCode="#,##0.00\ &quot;€&quot;"/>
      <alignment horizontal="center" vertical="bottom" textRotation="0" wrapText="0" indent="0" justifyLastLine="0" shrinkToFit="0" readingOrder="0"/>
    </dxf>
    <dxf>
      <font>
        <b/>
        <strike val="0"/>
        <outline val="0"/>
        <shadow val="0"/>
        <u val="none"/>
        <vertAlign val="baseline"/>
        <sz val="11"/>
        <color theme="1"/>
        <name val="Calibri"/>
        <scheme val="minor"/>
      </font>
      <numFmt numFmtId="166" formatCode="#,##0.00\ &quot;€&quot;"/>
      <alignment horizontal="center" vertical="center" textRotation="0" wrapText="0" indent="0" justifyLastLine="0" shrinkToFit="0" readingOrder="0"/>
    </dxf>
    <dxf>
      <alignment horizontal="center" vertical="bottom" textRotation="0" wrapText="0" indent="0" justifyLastLine="0" shrinkToFit="0" readingOrder="0"/>
      <protection locked="0" hidden="0"/>
    </dxf>
    <dxf>
      <font>
        <strike val="0"/>
        <outline val="0"/>
        <shadow val="0"/>
        <u val="none"/>
        <vertAlign val="baseline"/>
        <sz val="12"/>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166" formatCode="#,##0.00\ &quot;€&quot;"/>
      <fill>
        <patternFill patternType="none">
          <fgColor indexed="64"/>
          <bgColor indexed="65"/>
        </patternFill>
      </fill>
      <border diagonalUp="0" diagonalDown="0" outline="0">
        <left/>
        <right/>
        <top/>
        <bottom/>
      </border>
      <protection locked="1" hidden="0"/>
    </dxf>
    <dxf>
      <numFmt numFmtId="166" formatCode="#,##0.00\ &quot;€&quot;"/>
      <fill>
        <patternFill patternType="none">
          <fgColor indexed="64"/>
          <bgColor auto="1"/>
        </patternFill>
      </fill>
      <protection locked="1" hidden="0"/>
    </dxf>
    <dxf>
      <font>
        <b val="0"/>
        <i val="0"/>
        <strike val="0"/>
        <condense val="0"/>
        <extend val="0"/>
        <outline val="0"/>
        <shadow val="0"/>
        <u val="none"/>
        <vertAlign val="baseline"/>
        <sz val="11"/>
        <color theme="1"/>
        <name val="Calibri"/>
        <scheme val="minor"/>
      </font>
      <numFmt numFmtId="169" formatCode="#,##0.00\ _€"/>
      <fill>
        <patternFill patternType="none">
          <fgColor indexed="64"/>
          <bgColor indexed="65"/>
        </patternFill>
      </fill>
      <border diagonalUp="0" diagonalDown="0" outline="0">
        <left/>
        <right/>
        <top/>
        <bottom/>
      </border>
      <protection locked="1" hidden="0"/>
    </dxf>
    <dxf>
      <numFmt numFmtId="169" formatCode="#,##0.00\ _€"/>
      <fill>
        <patternFill patternType="none">
          <fgColor indexed="64"/>
          <bgColor auto="1"/>
        </patternFill>
      </fill>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ill>
        <patternFill patternType="none">
          <fgColor indexed="64"/>
          <bgColor auto="1"/>
        </patternFill>
      </fill>
      <protection locked="1" hidden="0"/>
    </dxf>
    <dxf>
      <font>
        <b val="0"/>
        <i val="0"/>
        <strike val="0"/>
        <condense val="0"/>
        <extend val="0"/>
        <outline val="0"/>
        <shadow val="0"/>
        <u val="none"/>
        <vertAlign val="baseline"/>
        <sz val="11"/>
        <color theme="1"/>
        <name val="Calibri"/>
        <scheme val="minor"/>
      </font>
      <numFmt numFmtId="170" formatCode="#,##0.00_);[Red]\(#,##0.00\)"/>
      <fill>
        <patternFill patternType="none">
          <fgColor indexed="64"/>
          <bgColor auto="1"/>
        </patternFill>
      </fill>
      <protection locked="1" hidden="0"/>
    </dxf>
    <dxf>
      <numFmt numFmtId="170" formatCode="#,##0.00_);[Red]\(#,##0.00\)"/>
      <fill>
        <patternFill patternType="none">
          <fgColor indexed="64"/>
          <bgColor auto="1"/>
        </patternFill>
      </fill>
      <protection locked="1" hidden="0"/>
    </dxf>
    <dxf>
      <fill>
        <patternFill patternType="none">
          <fgColor indexed="64"/>
          <bgColor auto="1"/>
        </patternFill>
      </fill>
      <protection locked="1" hidden="0"/>
    </dxf>
    <dxf>
      <numFmt numFmtId="170" formatCode="#,##0.00_);[Red]\(#,##0.00\)"/>
      <fill>
        <patternFill patternType="none">
          <fgColor indexed="64"/>
          <bgColor auto="1"/>
        </patternFill>
      </fill>
      <protection locked="1" hidden="0"/>
    </dxf>
    <dxf>
      <numFmt numFmtId="0" formatCode="General"/>
      <fill>
        <patternFill patternType="none">
          <fgColor indexed="64"/>
          <bgColor auto="1"/>
        </patternFill>
      </fill>
      <alignment horizontal="general" vertical="bottom" textRotation="0" wrapText="1" indent="0" justifyLastLine="0" shrinkToFit="0" readingOrder="0"/>
      <protection locked="1" hidden="0"/>
    </dxf>
    <dxf>
      <numFmt numFmtId="170" formatCode="#,##0.00_);[Red]\(#,##0.00\)"/>
      <fill>
        <patternFill patternType="none">
          <fgColor indexed="64"/>
          <bgColor auto="1"/>
        </patternFill>
      </fill>
      <protection locked="1" hidden="0"/>
    </dxf>
    <dxf>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1"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numFmt numFmtId="166" formatCode="#,##0.00\ &quot;€&quot;"/>
      <fill>
        <patternFill patternType="none">
          <fgColor indexed="64"/>
          <bgColor indexed="65"/>
        </patternFill>
      </fill>
      <border diagonalUp="0" diagonalDown="0" outline="0">
        <left/>
        <right/>
        <top/>
        <bottom/>
      </border>
      <protection locked="1" hidden="0"/>
    </dxf>
    <dxf>
      <numFmt numFmtId="166" formatCode="#,##0.00\ &quot;€&quot;"/>
      <fill>
        <patternFill patternType="none">
          <fgColor indexed="64"/>
          <bgColor auto="1"/>
        </patternFill>
      </fill>
      <protection locked="1" hidden="0"/>
    </dxf>
    <dxf>
      <font>
        <b val="0"/>
        <i val="0"/>
        <strike val="0"/>
        <condense val="0"/>
        <extend val="0"/>
        <outline val="0"/>
        <shadow val="0"/>
        <u val="none"/>
        <vertAlign val="baseline"/>
        <sz val="11"/>
        <color theme="1"/>
        <name val="Calibri"/>
        <scheme val="minor"/>
      </font>
      <numFmt numFmtId="169" formatCode="#,##0.00\ _€"/>
      <fill>
        <patternFill patternType="none">
          <fgColor indexed="64"/>
          <bgColor indexed="65"/>
        </patternFill>
      </fill>
      <border diagonalUp="0" diagonalDown="0" outline="0">
        <left/>
        <right/>
        <top/>
        <bottom/>
      </border>
      <protection locked="1" hidden="0"/>
    </dxf>
    <dxf>
      <numFmt numFmtId="169" formatCode="#,##0.00\ _€"/>
      <fill>
        <patternFill patternType="none">
          <fgColor indexed="64"/>
          <bgColor auto="1"/>
        </patternFill>
      </fill>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ill>
        <patternFill patternType="none">
          <fgColor indexed="64"/>
          <bgColor auto="1"/>
        </patternFill>
      </fill>
      <protection locked="1" hidden="0"/>
    </dxf>
    <dxf>
      <fill>
        <patternFill patternType="none">
          <fgColor indexed="64"/>
          <bgColor auto="1"/>
        </patternFill>
      </fill>
      <protection locked="1" hidden="0"/>
    </dxf>
    <dxf>
      <fill>
        <patternFill patternType="none">
          <fgColor indexed="64"/>
          <bgColor auto="1"/>
        </patternFill>
      </fill>
      <protection locked="1" hidden="0"/>
    </dxf>
    <dxf>
      <fill>
        <patternFill patternType="none">
          <fgColor indexed="64"/>
          <bgColor auto="1"/>
        </patternFill>
      </fill>
      <protection locked="1" hidden="0"/>
    </dxf>
    <dxf>
      <numFmt numFmtId="166" formatCode="#,##0.00\ &quot;€&quot;"/>
      <fill>
        <patternFill patternType="none">
          <fgColor indexed="64"/>
          <bgColor indexed="65"/>
        </patternFill>
      </fill>
      <protection locked="1" hidden="0"/>
    </dxf>
    <dxf>
      <numFmt numFmtId="166" formatCode="#,##0.00\ &quot;€&quot;"/>
      <fill>
        <patternFill patternType="none">
          <fgColor indexed="64"/>
          <bgColor auto="1"/>
        </patternFill>
      </fill>
      <protection locked="1" hidden="0"/>
    </dxf>
    <dxf>
      <numFmt numFmtId="169" formatCode="#,##0.00\ _€"/>
      <fill>
        <patternFill patternType="none">
          <fgColor indexed="64"/>
          <bgColor indexed="65"/>
        </patternFill>
      </fill>
      <protection locked="1" hidden="0"/>
    </dxf>
    <dxf>
      <numFmt numFmtId="169" formatCode="#,##0.00\ _€"/>
      <fill>
        <patternFill patternType="none">
          <fgColor indexed="64"/>
          <bgColor auto="1"/>
        </patternFill>
      </fill>
      <protection locked="1" hidden="0"/>
    </dxf>
    <dxf>
      <fill>
        <patternFill patternType="none">
          <fgColor indexed="64"/>
          <bgColor indexed="65"/>
        </patternFill>
      </fill>
      <protection locked="1" hidden="0"/>
    </dxf>
    <dxf>
      <fill>
        <patternFill patternType="none">
          <fgColor indexed="64"/>
          <bgColor auto="1"/>
        </patternFill>
      </fill>
      <protection locked="1" hidden="0"/>
    </dxf>
    <dxf>
      <fill>
        <patternFill patternType="none">
          <fgColor indexed="64"/>
          <bgColor auto="1"/>
        </patternFill>
      </fill>
      <protection locked="1" hidden="0"/>
    </dxf>
    <dxf>
      <fill>
        <patternFill patternType="none">
          <fgColor indexed="64"/>
          <bgColor auto="1"/>
        </patternFill>
      </fill>
      <protection locked="1" hidden="0"/>
    </dxf>
    <dxf>
      <fill>
        <patternFill patternType="none">
          <fgColor indexed="64"/>
          <bgColor auto="1"/>
        </patternFill>
      </fill>
      <protection locked="1" hidden="0"/>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left style="thin">
          <color theme="4" tint="0.39997558519241921"/>
        </left>
      </border>
    </dxf>
    <dxf>
      <alignment vertical="bottom" textRotation="0" wrapText="1"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center" textRotation="0" wrapText="1" indent="0" justifyLastLine="0" shrinkToFit="0" readingOrder="0"/>
      <border diagonalUp="0" diagonalDown="0">
        <left style="thin">
          <color theme="4" tint="0.39997558519241921"/>
        </left>
        <right style="thin">
          <color theme="4" tint="0.39997558519241921"/>
        </right>
        <top/>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8" formatCode="mmmm\ yyyy"/>
      <alignment horizontal="right" vertical="center" textRotation="0" wrapText="1" indent="0" justifyLastLine="0" shrinkToFit="0" readingOrder="0"/>
    </dxf>
    <dxf>
      <numFmt numFmtId="168" formatCode="mmmm\ yyyy"/>
      <alignment horizontal="right" vertical="center" textRotation="0" wrapText="1" indent="0" justifyLastLine="0" shrinkToFit="0" readingOrder="0"/>
    </dxf>
    <dxf>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numFmt numFmtId="172" formatCode="m/d/yyyy"/>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font>
        <sz val="14"/>
        <color theme="1"/>
      </font>
      <fill>
        <patternFill patternType="solid">
          <bgColor theme="7" tint="0.79998168889431442"/>
        </patternFill>
      </fill>
      <border>
        <bottom style="thin">
          <color theme="7"/>
        </bottom>
        <vertical/>
        <horizontal/>
      </border>
    </dxf>
    <dxf>
      <font>
        <color theme="1"/>
      </font>
      <fill>
        <patternFill>
          <bgColor theme="7" tint="0.79998168889431442"/>
        </patternFill>
      </fill>
      <border diagonalUp="0" diagonalDown="0">
        <left/>
        <right/>
        <top/>
        <bottom/>
        <vertical/>
        <horizontal/>
      </border>
    </dxf>
    <dxf>
      <font>
        <color rgb="FF000000"/>
      </font>
      <fill>
        <patternFill>
          <bgColor rgb="FFF2F2F2"/>
        </patternFill>
      </fill>
      <border diagonalUp="0" diagonalDown="0">
        <left/>
        <right/>
        <top/>
        <bottom/>
        <vertical/>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3" defaultTableStyle="TableStyleMedium2" defaultPivotStyle="PivotStyleLight16">
    <tableStyle name="Monthly Budget" pivot="0" count="5">
      <tableStyleElement type="wholeTable" dxfId="279"/>
      <tableStyleElement type="headerRow" dxfId="278"/>
      <tableStyleElement type="totalRow" dxfId="277"/>
      <tableStyleElement type="lastColumn" dxfId="276"/>
      <tableStyleElement type="firstRowStripe" dxfId="275"/>
    </tableStyle>
    <tableStyle name="Product Price List Slicer" pivot="0" table="0" count="9">
      <tableStyleElement type="wholeTable" dxfId="274"/>
    </tableStyle>
    <tableStyle name="SlicerStyleDark4 2" pivot="0" table="0" count="10">
      <tableStyleElement type="wholeTable" dxfId="273"/>
      <tableStyleElement type="headerRow" dxfId="272"/>
    </tableStyle>
  </tableStyles>
  <colors>
    <mruColors>
      <color rgb="FF00CC00"/>
      <color rgb="FFFF9900"/>
      <color rgb="FFA957A9"/>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2"/>
            <color rgb="FF2CB15A"/>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solid">
              <fgColor rgb="FFAFDDF1"/>
              <bgColor rgb="FFBFBFBF"/>
            </patternFill>
          </fill>
          <border>
            <left style="thin">
              <color rgb="FFAFDDF1"/>
            </left>
            <right style="thin">
              <color rgb="FFAFDDF1"/>
            </right>
            <top style="thin">
              <color rgb="FFAFDDF1"/>
            </top>
            <bottom style="thin">
              <color rgb="FFAFDDF1"/>
            </bottom>
            <vertical/>
            <horizontal/>
          </border>
        </dxf>
        <dxf>
          <font>
            <b val="0"/>
            <i val="0"/>
            <sz val="11"/>
            <color rgb="FFFFFFFF"/>
            <name val="Century Gothic"/>
            <scheme val="none"/>
          </font>
          <fill>
            <patternFill patternType="solid">
              <fgColor rgb="FF39ADDC"/>
              <bgColor rgb="FF2CB15A"/>
            </patternFill>
          </fill>
          <border diagonalUp="0" diagonalDown="0">
            <left/>
            <right/>
            <top/>
            <bottom/>
            <vertical/>
            <horizontal/>
          </border>
        </dxf>
        <dxf>
          <font>
            <b val="0"/>
            <i val="0"/>
            <sz val="11"/>
            <color rgb="FF218544"/>
            <name val="Century Gothic"/>
            <scheme val="none"/>
          </font>
          <fill>
            <patternFill patternType="solid">
              <fgColor rgb="FFDFDFDF"/>
              <bgColor rgb="FFBFBFBF"/>
            </patternFill>
          </fill>
          <border diagonalUp="0" diagonalDown="0">
            <left/>
            <right/>
            <top/>
            <bottom/>
            <vertical/>
            <horizontal/>
          </border>
        </dxf>
        <dxf>
          <font>
            <b val="0"/>
            <i val="0"/>
            <sz val="11"/>
            <color rgb="FF218544"/>
            <name val="Century Gothic"/>
            <scheme val="none"/>
          </font>
          <fill>
            <patternFill patternType="solid">
              <fgColor rgb="FFC0C0C0"/>
              <bgColor rgb="FFA2E8BA"/>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Product Price List 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b="0">
                <a:solidFill>
                  <a:schemeClr val="tx2"/>
                </a:solidFill>
              </a:defRPr>
            </a:pPr>
            <a:r>
              <a:rPr lang="fr-FR" sz="1500" b="0">
                <a:solidFill>
                  <a:schemeClr val="tx2"/>
                </a:solidFill>
              </a:rPr>
              <a:t>VUE D’ENSEMBLE DU BUDGET</a:t>
            </a:r>
          </a:p>
        </c:rich>
      </c:tx>
      <c:layout>
        <c:manualLayout>
          <c:xMode val="edge"/>
          <c:yMode val="edge"/>
          <c:x val="0.11267172051275741"/>
          <c:y val="0.10473324876700055"/>
        </c:manualLayout>
      </c:layout>
      <c:overlay val="0"/>
    </c:title>
    <c:autoTitleDeleted val="0"/>
    <c:plotArea>
      <c:layout/>
      <c:barChart>
        <c:barDir val="col"/>
        <c:grouping val="clustered"/>
        <c:varyColors val="0"/>
        <c:ser>
          <c:idx val="1"/>
          <c:order val="0"/>
          <c:tx>
            <c:strRef>
              <c:f>'Budget Mensuel'!$B$24</c:f>
              <c:strCache>
                <c:ptCount val="1"/>
                <c:pt idx="0">
                  <c:v>Dépenses</c:v>
                </c:pt>
              </c:strCache>
            </c:strRef>
          </c:tx>
          <c:spPr>
            <a:solidFill>
              <a:schemeClr val="accent5">
                <a:lumMod val="60000"/>
                <a:lumOff val="40000"/>
              </a:schemeClr>
            </a:solidFill>
            <a:ln>
              <a:solidFill>
                <a:schemeClr val="accent5">
                  <a:lumMod val="90000"/>
                </a:schemeClr>
              </a:solidFill>
            </a:ln>
            <a:effectLst>
              <a:outerShdw blurRad="50800" dist="12700" dir="2700000" algn="tl" rotWithShape="0">
                <a:prstClr val="black">
                  <a:alpha val="40000"/>
                </a:prstClr>
              </a:outerShdw>
            </a:effectLst>
          </c:spPr>
          <c:invertIfNegative val="0"/>
          <c:cat>
            <c:strRef>
              <c:f>'Budget Mensuel'!$C$22:$D$22</c:f>
              <c:strCache>
                <c:ptCount val="2"/>
                <c:pt idx="0">
                  <c:v>ESTIMÉ</c:v>
                </c:pt>
                <c:pt idx="1">
                  <c:v>RÉEL</c:v>
                </c:pt>
              </c:strCache>
            </c:strRef>
          </c:cat>
          <c:val>
            <c:numRef>
              <c:f>'Budget Mensuel'!$C$24:$D$24</c:f>
              <c:numCache>
                <c:formatCode>General</c:formatCode>
                <c:ptCount val="2"/>
                <c:pt idx="0">
                  <c:v>10600</c:v>
                </c:pt>
                <c:pt idx="1">
                  <c:v>0</c:v>
                </c:pt>
              </c:numCache>
            </c:numRef>
          </c:val>
        </c:ser>
        <c:ser>
          <c:idx val="0"/>
          <c:order val="1"/>
          <c:tx>
            <c:strRef>
              <c:f>'Budget Mensuel'!$B$23</c:f>
              <c:strCache>
                <c:ptCount val="1"/>
                <c:pt idx="0">
                  <c:v>Revenus</c:v>
                </c:pt>
              </c:strCache>
            </c:strRef>
          </c:tx>
          <c:spPr>
            <a:solidFill>
              <a:schemeClr val="accent4">
                <a:lumMod val="60000"/>
                <a:lumOff val="40000"/>
              </a:schemeClr>
            </a:solidFill>
            <a:ln>
              <a:solidFill>
                <a:schemeClr val="accent4"/>
              </a:solidFill>
            </a:ln>
            <a:effectLst>
              <a:outerShdw blurRad="50800" dist="12700" dir="2700000" algn="tl" rotWithShape="0">
                <a:prstClr val="black">
                  <a:alpha val="40000"/>
                </a:prstClr>
              </a:outerShdw>
            </a:effectLst>
          </c:spPr>
          <c:invertIfNegative val="0"/>
          <c:cat>
            <c:strRef>
              <c:f>'Budget Mensuel'!$C$22:$D$22</c:f>
              <c:strCache>
                <c:ptCount val="2"/>
                <c:pt idx="0">
                  <c:v>ESTIMÉ</c:v>
                </c:pt>
                <c:pt idx="1">
                  <c:v>RÉEL</c:v>
                </c:pt>
              </c:strCache>
            </c:strRef>
          </c:cat>
          <c:val>
            <c:numRef>
              <c:f>'Budget Mensuel'!$C$23:$D$23</c:f>
              <c:numCache>
                <c:formatCode>General</c:formatCode>
                <c:ptCount val="2"/>
                <c:pt idx="0">
                  <c:v>73950</c:v>
                </c:pt>
                <c:pt idx="1">
                  <c:v>296.78999999999996</c:v>
                </c:pt>
              </c:numCache>
            </c:numRef>
          </c:val>
        </c:ser>
        <c:dLbls>
          <c:showLegendKey val="0"/>
          <c:showVal val="0"/>
          <c:showCatName val="0"/>
          <c:showSerName val="0"/>
          <c:showPercent val="0"/>
          <c:showBubbleSize val="0"/>
        </c:dLbls>
        <c:gapWidth val="150"/>
        <c:overlap val="-3"/>
        <c:axId val="103230848"/>
        <c:axId val="103253120"/>
      </c:barChart>
      <c:catAx>
        <c:axId val="103230848"/>
        <c:scaling>
          <c:orientation val="minMax"/>
        </c:scaling>
        <c:delete val="0"/>
        <c:axPos val="b"/>
        <c:numFmt formatCode="General" sourceLinked="0"/>
        <c:majorTickMark val="out"/>
        <c:minorTickMark val="none"/>
        <c:tickLblPos val="nextTo"/>
        <c:txPr>
          <a:bodyPr/>
          <a:lstStyle/>
          <a:p>
            <a:pPr>
              <a:defRPr>
                <a:solidFill>
                  <a:schemeClr val="tx2"/>
                </a:solidFill>
              </a:defRPr>
            </a:pPr>
            <a:endParaRPr lang="fr-FR"/>
          </a:p>
        </c:txPr>
        <c:crossAx val="103253120"/>
        <c:crosses val="autoZero"/>
        <c:auto val="1"/>
        <c:lblAlgn val="ctr"/>
        <c:lblOffset val="100"/>
        <c:noMultiLvlLbl val="0"/>
      </c:catAx>
      <c:valAx>
        <c:axId val="103253120"/>
        <c:scaling>
          <c:orientation val="minMax"/>
        </c:scaling>
        <c:delete val="0"/>
        <c:axPos val="l"/>
        <c:majorGridlines/>
        <c:numFmt formatCode="General" sourceLinked="1"/>
        <c:majorTickMark val="out"/>
        <c:minorTickMark val="none"/>
        <c:tickLblPos val="nextTo"/>
        <c:txPr>
          <a:bodyPr/>
          <a:lstStyle/>
          <a:p>
            <a:pPr>
              <a:defRPr>
                <a:solidFill>
                  <a:schemeClr val="tx2"/>
                </a:solidFill>
              </a:defRPr>
            </a:pPr>
            <a:endParaRPr lang="fr-FR"/>
          </a:p>
        </c:txPr>
        <c:crossAx val="103230848"/>
        <c:crosses val="autoZero"/>
        <c:crossBetween val="between"/>
      </c:valAx>
    </c:plotArea>
    <c:legend>
      <c:legendPos val="t"/>
      <c:layout>
        <c:manualLayout>
          <c:xMode val="edge"/>
          <c:yMode val="edge"/>
          <c:x val="0.70958555034916704"/>
          <c:y val="4.7514522488001684E-2"/>
          <c:w val="0.22751044983421939"/>
          <c:h val="0.14741878341099834"/>
        </c:manualLayout>
      </c:layout>
      <c:overlay val="0"/>
      <c:txPr>
        <a:bodyPr/>
        <a:lstStyle/>
        <a:p>
          <a:pPr>
            <a:defRPr sz="1100">
              <a:solidFill>
                <a:schemeClr val="tx2"/>
              </a:solidFill>
            </a:defRPr>
          </a:pPr>
          <a:endParaRPr lang="fr-FR"/>
        </a:p>
      </c:txPr>
    </c:legend>
    <c:plotVisOnly val="1"/>
    <c:dispBlanksAs val="gap"/>
    <c:showDLblsOverMax val="0"/>
  </c:chart>
  <c:spPr>
    <a:solidFill>
      <a:schemeClr val="bg1">
        <a:lumMod val="95000"/>
      </a:schemeClr>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22"/>
    </mc:Choice>
    <mc:Fallback>
      <c:style val="22"/>
    </mc:Fallback>
  </mc:AlternateContent>
  <c:pivotSource>
    <c:name>[Anacyrgui 3.xlsm]TableauxDynamiques!Tableau croisé dynamique6</c:name>
    <c:fmtId val="0"/>
  </c:pivotSource>
  <c:chart>
    <c:title>
      <c:tx>
        <c:rich>
          <a:bodyPr/>
          <a:lstStyle/>
          <a:p>
            <a:pPr>
              <a:defRPr/>
            </a:pPr>
            <a:r>
              <a:rPr lang="en-US"/>
              <a:t>CA journalier moyen en fonction de la météo</a:t>
            </a:r>
          </a:p>
        </c:rich>
      </c:tx>
      <c:layout/>
      <c:overlay val="0"/>
    </c:title>
    <c:autoTitleDeleted val="0"/>
    <c:pivotFmts>
      <c:pivotFmt>
        <c:idx val="0"/>
      </c:pivotFmt>
      <c:pivotFmt>
        <c:idx val="1"/>
        <c:marker>
          <c:symbol val="none"/>
        </c:marker>
        <c:dLbl>
          <c:idx val="0"/>
          <c:layout/>
          <c:spPr/>
          <c:txPr>
            <a:bodyPr/>
            <a:lstStyle/>
            <a:p>
              <a:pPr>
                <a:defRPr sz="1050" b="1">
                  <a:solidFill>
                    <a:schemeClr val="bg1"/>
                  </a:solidFill>
                </a:defRPr>
              </a:pPr>
              <a:endParaRPr lang="fr-FR"/>
            </a:p>
          </c:txPr>
          <c:dLblPos val="inEnd"/>
          <c:showLegendKey val="0"/>
          <c:showVal val="1"/>
          <c:showCatName val="0"/>
          <c:showSerName val="0"/>
          <c:showPercent val="0"/>
          <c:showBubbleSize val="0"/>
        </c:dLbl>
      </c:pivotFmt>
      <c:pivotFmt>
        <c:idx val="2"/>
      </c:pivotFmt>
    </c:pivotFmts>
    <c:plotArea>
      <c:layout/>
      <c:barChart>
        <c:barDir val="col"/>
        <c:grouping val="clustered"/>
        <c:varyColors val="0"/>
        <c:ser>
          <c:idx val="0"/>
          <c:order val="0"/>
          <c:tx>
            <c:strRef>
              <c:f>TableauxDynamiques!$B$1</c:f>
              <c:strCache>
                <c:ptCount val="1"/>
                <c:pt idx="0">
                  <c:v>Total</c:v>
                </c:pt>
              </c:strCache>
            </c:strRef>
          </c:tx>
          <c:invertIfNegative val="0"/>
          <c:dLbls>
            <c:spPr/>
            <c:txPr>
              <a:bodyPr/>
              <a:lstStyle/>
              <a:p>
                <a:pPr>
                  <a:defRPr sz="1050" b="1">
                    <a:solidFill>
                      <a:schemeClr val="bg1"/>
                    </a:solidFill>
                  </a:defRPr>
                </a:pPr>
                <a:endParaRPr lang="fr-FR"/>
              </a:p>
            </c:txPr>
            <c:dLblPos val="inEnd"/>
            <c:showLegendKey val="0"/>
            <c:showVal val="1"/>
            <c:showCatName val="0"/>
            <c:showSerName val="0"/>
            <c:showPercent val="0"/>
            <c:showBubbleSize val="0"/>
            <c:showLeaderLines val="0"/>
          </c:dLbls>
          <c:cat>
            <c:strRef>
              <c:f>TableauxDynamiques!$A$2:$A$5</c:f>
              <c:strCache>
                <c:ptCount val="3"/>
                <c:pt idx="0">
                  <c:v>1</c:v>
                </c:pt>
                <c:pt idx="1">
                  <c:v>4</c:v>
                </c:pt>
                <c:pt idx="2">
                  <c:v>5</c:v>
                </c:pt>
              </c:strCache>
            </c:strRef>
          </c:cat>
          <c:val>
            <c:numRef>
              <c:f>TableauxDynamiques!$B$2:$B$5</c:f>
              <c:numCache>
                <c:formatCode>General</c:formatCode>
                <c:ptCount val="3"/>
                <c:pt idx="0">
                  <c:v>567.12</c:v>
                </c:pt>
                <c:pt idx="1">
                  <c:v>467.81666666666661</c:v>
                </c:pt>
                <c:pt idx="2">
                  <c:v>55.099999999999994</c:v>
                </c:pt>
              </c:numCache>
            </c:numRef>
          </c:val>
        </c:ser>
        <c:dLbls>
          <c:showLegendKey val="0"/>
          <c:showVal val="0"/>
          <c:showCatName val="0"/>
          <c:showSerName val="0"/>
          <c:showPercent val="0"/>
          <c:showBubbleSize val="0"/>
        </c:dLbls>
        <c:gapWidth val="150"/>
        <c:axId val="101586432"/>
        <c:axId val="101587968"/>
      </c:barChart>
      <c:catAx>
        <c:axId val="101586432"/>
        <c:scaling>
          <c:orientation val="minMax"/>
        </c:scaling>
        <c:delete val="0"/>
        <c:axPos val="b"/>
        <c:majorTickMark val="out"/>
        <c:minorTickMark val="none"/>
        <c:tickLblPos val="nextTo"/>
        <c:crossAx val="101587968"/>
        <c:crosses val="autoZero"/>
        <c:auto val="1"/>
        <c:lblAlgn val="ctr"/>
        <c:lblOffset val="100"/>
        <c:noMultiLvlLbl val="0"/>
      </c:catAx>
      <c:valAx>
        <c:axId val="101587968"/>
        <c:scaling>
          <c:orientation val="minMax"/>
        </c:scaling>
        <c:delete val="0"/>
        <c:axPos val="l"/>
        <c:majorGridlines/>
        <c:numFmt formatCode="General" sourceLinked="1"/>
        <c:majorTickMark val="out"/>
        <c:minorTickMark val="none"/>
        <c:tickLblPos val="nextTo"/>
        <c:crossAx val="101586432"/>
        <c:crosses val="autoZero"/>
        <c:crossBetween val="between"/>
      </c:valAx>
    </c:plotArea>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22"/>
    </mc:Choice>
    <mc:Fallback>
      <c:style val="22"/>
    </mc:Fallback>
  </mc:AlternateContent>
  <c:pivotSource>
    <c:name>[Anacyrgui 3.xlsm]TableauxDynamiques!Tableau croisé dynamique7</c:name>
    <c:fmtId val="2"/>
  </c:pivotSource>
  <c:chart>
    <c:title>
      <c:tx>
        <c:rich>
          <a:bodyPr/>
          <a:lstStyle/>
          <a:p>
            <a:pPr>
              <a:defRPr/>
            </a:pPr>
            <a:r>
              <a:rPr lang="en-US"/>
              <a:t>CA</a:t>
            </a:r>
            <a:r>
              <a:rPr lang="en-US" baseline="0"/>
              <a:t> par produit (€)</a:t>
            </a:r>
          </a:p>
        </c:rich>
      </c:tx>
      <c:layout>
        <c:manualLayout>
          <c:xMode val="edge"/>
          <c:yMode val="edge"/>
          <c:x val="0.35363250459834256"/>
          <c:y val="2.7972027972027972E-2"/>
        </c:manualLayout>
      </c:layout>
      <c:overlay val="0"/>
    </c:title>
    <c:autoTitleDeleted val="0"/>
    <c:pivotFmts>
      <c:pivotFmt>
        <c:idx val="0"/>
      </c:pivotFmt>
      <c:pivotFmt>
        <c:idx val="1"/>
      </c:pivotFmt>
      <c:pivotFmt>
        <c:idx val="2"/>
      </c:pivotFmt>
      <c:pivotFmt>
        <c:idx val="3"/>
        <c:dLbl>
          <c:idx val="0"/>
          <c:dLblPos val="inEnd"/>
          <c:showLegendKey val="0"/>
          <c:showVal val="1"/>
          <c:showCatName val="0"/>
          <c:showSerName val="0"/>
          <c:showPercent val="0"/>
          <c:showBubbleSize val="0"/>
        </c:dLbl>
      </c:pivotFmt>
      <c:pivotFmt>
        <c:idx val="4"/>
      </c:pivotFmt>
      <c:pivotFmt>
        <c:idx val="5"/>
        <c:dLbl>
          <c:idx val="0"/>
          <c:dLblPos val="inEnd"/>
          <c:showLegendKey val="0"/>
          <c:showVal val="1"/>
          <c:showCatName val="0"/>
          <c:showSerName val="0"/>
          <c:showPercent val="0"/>
          <c:showBubbleSize val="0"/>
        </c:dLbl>
      </c:pivotFmt>
      <c:pivotFmt>
        <c:idx val="6"/>
        <c:marker>
          <c:symbol val="none"/>
        </c:marker>
        <c:dLbl>
          <c:idx val="0"/>
          <c:dLblPos val="outEnd"/>
          <c:showLegendKey val="0"/>
          <c:showVal val="1"/>
          <c:showCatName val="0"/>
          <c:showSerName val="0"/>
          <c:showPercent val="0"/>
          <c:showBubbleSize val="0"/>
        </c:dLbl>
      </c:pivotFmt>
    </c:pivotFmts>
    <c:plotArea>
      <c:layout/>
      <c:barChart>
        <c:barDir val="bar"/>
        <c:grouping val="clustered"/>
        <c:varyColors val="0"/>
        <c:ser>
          <c:idx val="0"/>
          <c:order val="0"/>
          <c:tx>
            <c:strRef>
              <c:f>TableauxDynamiques!$B$13</c:f>
              <c:strCache>
                <c:ptCount val="1"/>
                <c:pt idx="0">
                  <c:v>Total</c:v>
                </c:pt>
              </c:strCache>
            </c:strRef>
          </c:tx>
          <c:invertIfNegative val="0"/>
          <c:dLbls>
            <c:spPr/>
            <c:txPr>
              <a:bodyPr/>
              <a:lstStyle/>
              <a:p>
                <a:pPr>
                  <a:defRPr/>
                </a:pPr>
                <a:endParaRPr lang="fr-FR"/>
              </a:p>
            </c:txPr>
            <c:dLblPos val="outEnd"/>
            <c:showLegendKey val="0"/>
            <c:showVal val="1"/>
            <c:showCatName val="0"/>
            <c:showSerName val="0"/>
            <c:showPercent val="0"/>
            <c:showBubbleSize val="0"/>
            <c:showLeaderLines val="0"/>
          </c:dLbls>
          <c:cat>
            <c:strRef>
              <c:f>TableauxDynamiques!$A$14:$A$19</c:f>
              <c:strCache>
                <c:ptCount val="5"/>
                <c:pt idx="0">
                  <c:v>Collier popcorn</c:v>
                </c:pt>
                <c:pt idx="1">
                  <c:v>Dragibus</c:v>
                </c:pt>
                <c:pt idx="2">
                  <c:v>Boucles fashion</c:v>
                </c:pt>
                <c:pt idx="3">
                  <c:v>Ensemble opales</c:v>
                </c:pt>
                <c:pt idx="4">
                  <c:v>Boucles d'or</c:v>
                </c:pt>
              </c:strCache>
            </c:strRef>
          </c:cat>
          <c:val>
            <c:numRef>
              <c:f>TableauxDynamiques!$B$14:$B$19</c:f>
              <c:numCache>
                <c:formatCode>General</c:formatCode>
                <c:ptCount val="5"/>
                <c:pt idx="0">
                  <c:v>52.5</c:v>
                </c:pt>
                <c:pt idx="1">
                  <c:v>5.2899999999999991</c:v>
                </c:pt>
                <c:pt idx="2">
                  <c:v>10</c:v>
                </c:pt>
                <c:pt idx="3">
                  <c:v>220</c:v>
                </c:pt>
                <c:pt idx="4">
                  <c:v>9</c:v>
                </c:pt>
              </c:numCache>
            </c:numRef>
          </c:val>
        </c:ser>
        <c:dLbls>
          <c:showLegendKey val="0"/>
          <c:showVal val="0"/>
          <c:showCatName val="0"/>
          <c:showSerName val="0"/>
          <c:showPercent val="0"/>
          <c:showBubbleSize val="0"/>
        </c:dLbls>
        <c:gapWidth val="150"/>
        <c:axId val="101638144"/>
        <c:axId val="101639680"/>
      </c:barChart>
      <c:catAx>
        <c:axId val="101638144"/>
        <c:scaling>
          <c:orientation val="minMax"/>
        </c:scaling>
        <c:delete val="0"/>
        <c:axPos val="l"/>
        <c:majorTickMark val="out"/>
        <c:minorTickMark val="none"/>
        <c:tickLblPos val="nextTo"/>
        <c:spPr>
          <a:ln>
            <a:noFill/>
          </a:ln>
        </c:spPr>
        <c:crossAx val="101639680"/>
        <c:crosses val="autoZero"/>
        <c:auto val="1"/>
        <c:lblAlgn val="ctr"/>
        <c:lblOffset val="100"/>
        <c:noMultiLvlLbl val="0"/>
      </c:catAx>
      <c:valAx>
        <c:axId val="101639680"/>
        <c:scaling>
          <c:orientation val="minMax"/>
        </c:scaling>
        <c:delete val="1"/>
        <c:axPos val="b"/>
        <c:numFmt formatCode="General" sourceLinked="1"/>
        <c:majorTickMark val="out"/>
        <c:minorTickMark val="none"/>
        <c:tickLblPos val="nextTo"/>
        <c:crossAx val="101638144"/>
        <c:crosses val="autoZero"/>
        <c:crossBetween val="between"/>
      </c:valAx>
      <c:spPr>
        <a:noFill/>
        <a:ln w="25400">
          <a:noFill/>
        </a:ln>
      </c:spPr>
    </c:plotArea>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[Anacyrgui 3.xlsm]TableauxDynamiques!Tableau croisé dynamique9</c:name>
    <c:fmtId val="2"/>
  </c:pivotSource>
  <c:chart>
    <c:title>
      <c:tx>
        <c:rich>
          <a:bodyPr/>
          <a:lstStyle/>
          <a:p>
            <a:pPr>
              <a:defRPr/>
            </a:pPr>
            <a:r>
              <a:rPr lang="en-US"/>
              <a:t>CA par nature d'activité (€)</a:t>
            </a:r>
          </a:p>
        </c:rich>
      </c:tx>
      <c:overlay val="0"/>
    </c:title>
    <c:autoTitleDeleted val="0"/>
    <c:pivotFmts>
      <c:pivotFmt>
        <c:idx val="0"/>
        <c:marker>
          <c:symbol val="none"/>
        </c:marker>
        <c:dLbl>
          <c:idx val="0"/>
          <c:spPr/>
          <c:txPr>
            <a:bodyPr/>
            <a:lstStyle/>
            <a:p>
              <a:pPr>
                <a:defRPr/>
              </a:pPr>
              <a:endParaRPr lang="fr-FR"/>
            </a:p>
          </c:txPr>
          <c:showLegendKey val="0"/>
          <c:showVal val="1"/>
          <c:showCatName val="0"/>
          <c:showSerName val="0"/>
          <c:showPercent val="0"/>
          <c:showBubbleSize val="0"/>
        </c:dLbl>
      </c:pivotFmt>
      <c:pivotFmt>
        <c:idx val="1"/>
        <c:marker>
          <c:symbol val="none"/>
        </c:marker>
      </c:pivotFmt>
      <c:pivotFmt>
        <c:idx val="2"/>
        <c:marker>
          <c:symbol val="none"/>
        </c:marker>
        <c:dLbl>
          <c:idx val="0"/>
          <c:spPr/>
          <c:txPr>
            <a:bodyPr/>
            <a:lstStyle/>
            <a:p>
              <a:pPr>
                <a:defRPr/>
              </a:pPr>
              <a:endParaRPr lang="fr-FR"/>
            </a:p>
          </c:txPr>
          <c:showLegendKey val="0"/>
          <c:showVal val="1"/>
          <c:showCatName val="0"/>
          <c:showSerName val="0"/>
          <c:showPercent val="0"/>
          <c:showBubbleSize val="0"/>
        </c:dLbl>
      </c:pivotFmt>
      <c:pivotFmt>
        <c:idx val="3"/>
        <c:marker>
          <c:symbol val="none"/>
        </c:marker>
        <c:dLbl>
          <c:idx val="0"/>
          <c:spPr/>
          <c:txPr>
            <a:bodyPr/>
            <a:lstStyle/>
            <a:p>
              <a:pPr>
                <a:defRPr sz="1050" b="1"/>
              </a:pPr>
              <a:endParaRPr lang="fr-FR"/>
            </a:p>
          </c:txPr>
          <c:dLblPos val="outEnd"/>
          <c:showLegendKey val="0"/>
          <c:showVal val="1"/>
          <c:showCatName val="0"/>
          <c:showSerName val="0"/>
          <c:showPercent val="0"/>
          <c:showBubbleSize val="0"/>
        </c:dLbl>
      </c:pivotFmt>
    </c:pivotFmts>
    <c:plotArea>
      <c:layout/>
      <c:pieChart>
        <c:varyColors val="1"/>
        <c:ser>
          <c:idx val="0"/>
          <c:order val="0"/>
          <c:tx>
            <c:strRef>
              <c:f>TableauxDynamiques!$B$25</c:f>
              <c:strCache>
                <c:ptCount val="1"/>
                <c:pt idx="0">
                  <c:v>Total</c:v>
                </c:pt>
              </c:strCache>
            </c:strRef>
          </c:tx>
          <c:dLbls>
            <c:spPr/>
            <c:txPr>
              <a:bodyPr/>
              <a:lstStyle/>
              <a:p>
                <a:pPr>
                  <a:defRPr sz="1050" b="1"/>
                </a:pPr>
                <a:endParaRPr lang="fr-FR"/>
              </a:p>
            </c:txPr>
            <c:dLblPos val="outEnd"/>
            <c:showLegendKey val="0"/>
            <c:showVal val="1"/>
            <c:showCatName val="0"/>
            <c:showSerName val="0"/>
            <c:showPercent val="0"/>
            <c:showBubbleSize val="0"/>
            <c:showLeaderLines val="1"/>
          </c:dLbls>
          <c:cat>
            <c:strRef>
              <c:f>TableauxDynamiques!$A$26:$A$31</c:f>
              <c:strCache>
                <c:ptCount val="5"/>
                <c:pt idx="0">
                  <c:v>Vente Boutique</c:v>
                </c:pt>
                <c:pt idx="1">
                  <c:v>Vente CE</c:v>
                </c:pt>
                <c:pt idx="2">
                  <c:v>Vente Domicile</c:v>
                </c:pt>
                <c:pt idx="3">
                  <c:v>Vente Foire</c:v>
                </c:pt>
                <c:pt idx="4">
                  <c:v>Vente Internet</c:v>
                </c:pt>
              </c:strCache>
            </c:strRef>
          </c:cat>
          <c:val>
            <c:numRef>
              <c:f>TableauxDynamiques!$B$26:$B$31</c:f>
              <c:numCache>
                <c:formatCode>General</c:formatCode>
                <c:ptCount val="5"/>
                <c:pt idx="0">
                  <c:v>55.29</c:v>
                </c:pt>
                <c:pt idx="1">
                  <c:v>131</c:v>
                </c:pt>
                <c:pt idx="2">
                  <c:v>79.5</c:v>
                </c:pt>
                <c:pt idx="3">
                  <c:v>10</c:v>
                </c:pt>
                <c:pt idx="4">
                  <c:v>21</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[Anacyrgui 3.xlsm]TableauxDynamiques!Tableau croisé dynamique1</c:name>
    <c:fmtId val="2"/>
  </c:pivotSource>
  <c:chart>
    <c:title>
      <c:tx>
        <c:rich>
          <a:bodyPr/>
          <a:lstStyle/>
          <a:p>
            <a:pPr>
              <a:defRPr/>
            </a:pPr>
            <a:r>
              <a:rPr lang="fr-FR"/>
              <a:t>Répartition des ventes par rapport au code caisse (€)</a:t>
            </a:r>
          </a:p>
        </c:rich>
      </c:tx>
      <c:overlay val="1"/>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dLbl>
          <c:idx val="0"/>
          <c:spPr>
            <a:effectLst/>
          </c:spPr>
          <c:txPr>
            <a:bodyPr/>
            <a:lstStyle/>
            <a:p>
              <a:pPr>
                <a:defRPr/>
              </a:pPr>
              <a:endParaRPr lang="fr-FR"/>
            </a:p>
          </c:txPr>
          <c:showLegendKey val="0"/>
          <c:showVal val="1"/>
          <c:showCatName val="0"/>
          <c:showSerName val="0"/>
          <c:showPercent val="0"/>
          <c:showBubbleSize val="0"/>
        </c:dLbl>
      </c:pivotFmt>
      <c:pivotFmt>
        <c:idx val="7"/>
        <c:marker>
          <c:symbol val="none"/>
        </c:marker>
        <c:dLbl>
          <c:idx val="0"/>
          <c:spPr/>
          <c:txPr>
            <a:bodyPr/>
            <a:lstStyle/>
            <a:p>
              <a:pPr>
                <a:defRPr/>
              </a:pPr>
              <a:endParaRPr lang="fr-FR"/>
            </a:p>
          </c:txPr>
          <c:showLegendKey val="0"/>
          <c:showVal val="1"/>
          <c:showCatName val="0"/>
          <c:showSerName val="0"/>
          <c:showPercent val="0"/>
          <c:showBubbleSize val="0"/>
        </c:dLbl>
      </c:pivotFmt>
      <c:pivotFmt>
        <c:idx val="8"/>
        <c:marker>
          <c:symbol val="none"/>
        </c:marker>
        <c:dLbl>
          <c:idx val="0"/>
          <c:spPr/>
          <c:txPr>
            <a:bodyPr/>
            <a:lstStyle/>
            <a:p>
              <a:pPr>
                <a:defRPr/>
              </a:pPr>
              <a:endParaRPr lang="fr-FR"/>
            </a:p>
          </c:txPr>
          <c:showLegendKey val="0"/>
          <c:showVal val="1"/>
          <c:showCatName val="0"/>
          <c:showSerName val="0"/>
          <c:showPercent val="0"/>
          <c:showBubbleSize val="0"/>
        </c:dLbl>
      </c:pivotFmt>
      <c:pivotFmt>
        <c:idx val="9"/>
        <c:marker>
          <c:symbol val="none"/>
        </c:marker>
        <c:dLbl>
          <c:idx val="0"/>
          <c:spPr/>
          <c:txPr>
            <a:bodyPr/>
            <a:lstStyle/>
            <a:p>
              <a:pPr>
                <a:defRPr/>
              </a:pPr>
              <a:endParaRPr lang="fr-FR"/>
            </a:p>
          </c:txPr>
          <c:showLegendKey val="0"/>
          <c:showVal val="1"/>
          <c:showCatName val="0"/>
          <c:showSerName val="0"/>
          <c:showPercent val="0"/>
          <c:showBubbleSize val="0"/>
        </c:dLbl>
      </c:pivotFmt>
    </c:pivotFmts>
    <c:plotArea>
      <c:layout>
        <c:manualLayout>
          <c:layoutTarget val="inner"/>
          <c:xMode val="edge"/>
          <c:yMode val="edge"/>
          <c:x val="4.7478681510963731E-2"/>
          <c:y val="2.8695582872942355E-2"/>
          <c:w val="0.95175471384083377"/>
          <c:h val="0.8575565804557741"/>
        </c:manualLayout>
      </c:layout>
      <c:barChart>
        <c:barDir val="col"/>
        <c:grouping val="stacked"/>
        <c:varyColors val="0"/>
        <c:ser>
          <c:idx val="0"/>
          <c:order val="0"/>
          <c:tx>
            <c:strRef>
              <c:f>TableauxDynamiques!$B$34:$B$35</c:f>
              <c:strCache>
                <c:ptCount val="1"/>
                <c:pt idx="0">
                  <c:v>1</c:v>
                </c:pt>
              </c:strCache>
            </c:strRef>
          </c:tx>
          <c:invertIfNegative val="0"/>
          <c:dLbls>
            <c:spPr>
              <a:effectLst/>
            </c:spPr>
            <c:txPr>
              <a:bodyPr/>
              <a:lstStyle/>
              <a:p>
                <a:pPr>
                  <a:defRPr/>
                </a:pPr>
                <a:endParaRPr lang="fr-FR"/>
              </a:p>
            </c:txPr>
            <c:showLegendKey val="0"/>
            <c:showVal val="1"/>
            <c:showCatName val="0"/>
            <c:showSerName val="0"/>
            <c:showPercent val="0"/>
            <c:showBubbleSize val="0"/>
            <c:showLeaderLines val="0"/>
          </c:dLbls>
          <c:cat>
            <c:multiLvlStrRef>
              <c:f>TableauxDynamiques!$A$36:$A$43</c:f>
              <c:multiLvlStrCache>
                <c:ptCount val="5"/>
                <c:lvl>
                  <c:pt idx="0">
                    <c:v>décembre</c:v>
                  </c:pt>
                  <c:pt idx="1">
                    <c:v>janvier</c:v>
                  </c:pt>
                  <c:pt idx="2">
                    <c:v>mars</c:v>
                  </c:pt>
                  <c:pt idx="3">
                    <c:v>avril</c:v>
                  </c:pt>
                  <c:pt idx="4">
                    <c:v>mai</c:v>
                  </c:pt>
                </c:lvl>
                <c:lvl>
                  <c:pt idx="0">
                    <c:v>2012</c:v>
                  </c:pt>
                  <c:pt idx="1">
                    <c:v>2013</c:v>
                  </c:pt>
                </c:lvl>
              </c:multiLvlStrCache>
            </c:multiLvlStrRef>
          </c:cat>
          <c:val>
            <c:numRef>
              <c:f>TableauxDynamiques!$B$36:$B$43</c:f>
              <c:numCache>
                <c:formatCode>General</c:formatCode>
                <c:ptCount val="5"/>
                <c:pt idx="2">
                  <c:v>2.76</c:v>
                </c:pt>
                <c:pt idx="4">
                  <c:v>2.5299999999999998</c:v>
                </c:pt>
              </c:numCache>
            </c:numRef>
          </c:val>
        </c:ser>
        <c:ser>
          <c:idx val="1"/>
          <c:order val="1"/>
          <c:tx>
            <c:strRef>
              <c:f>TableauxDynamiques!$C$34:$C$35</c:f>
              <c:strCache>
                <c:ptCount val="1"/>
                <c:pt idx="0">
                  <c:v>2</c:v>
                </c:pt>
              </c:strCache>
            </c:strRef>
          </c:tx>
          <c:invertIfNegative val="0"/>
          <c:dLbls>
            <c:spPr/>
            <c:txPr>
              <a:bodyPr/>
              <a:lstStyle/>
              <a:p>
                <a:pPr>
                  <a:defRPr/>
                </a:pPr>
                <a:endParaRPr lang="fr-FR"/>
              </a:p>
            </c:txPr>
            <c:showLegendKey val="0"/>
            <c:showVal val="1"/>
            <c:showCatName val="0"/>
            <c:showSerName val="0"/>
            <c:showPercent val="0"/>
            <c:showBubbleSize val="0"/>
            <c:showLeaderLines val="0"/>
          </c:dLbls>
          <c:cat>
            <c:multiLvlStrRef>
              <c:f>TableauxDynamiques!$A$36:$A$43</c:f>
              <c:multiLvlStrCache>
                <c:ptCount val="5"/>
                <c:lvl>
                  <c:pt idx="0">
                    <c:v>décembre</c:v>
                  </c:pt>
                  <c:pt idx="1">
                    <c:v>janvier</c:v>
                  </c:pt>
                  <c:pt idx="2">
                    <c:v>mars</c:v>
                  </c:pt>
                  <c:pt idx="3">
                    <c:v>avril</c:v>
                  </c:pt>
                  <c:pt idx="4">
                    <c:v>mai</c:v>
                  </c:pt>
                </c:lvl>
                <c:lvl>
                  <c:pt idx="0">
                    <c:v>2012</c:v>
                  </c:pt>
                  <c:pt idx="1">
                    <c:v>2013</c:v>
                  </c:pt>
                </c:lvl>
              </c:multiLvlStrCache>
            </c:multiLvlStrRef>
          </c:cat>
          <c:val>
            <c:numRef>
              <c:f>TableauxDynamiques!$C$36:$C$43</c:f>
              <c:numCache>
                <c:formatCode>General</c:formatCode>
                <c:ptCount val="5"/>
                <c:pt idx="3">
                  <c:v>14</c:v>
                </c:pt>
                <c:pt idx="4">
                  <c:v>5</c:v>
                </c:pt>
              </c:numCache>
            </c:numRef>
          </c:val>
        </c:ser>
        <c:ser>
          <c:idx val="2"/>
          <c:order val="2"/>
          <c:tx>
            <c:strRef>
              <c:f>TableauxDynamiques!$D$34:$D$35</c:f>
              <c:strCache>
                <c:ptCount val="1"/>
                <c:pt idx="0">
                  <c:v>3</c:v>
                </c:pt>
              </c:strCache>
            </c:strRef>
          </c:tx>
          <c:invertIfNegative val="0"/>
          <c:dLbls>
            <c:spPr/>
            <c:txPr>
              <a:bodyPr/>
              <a:lstStyle/>
              <a:p>
                <a:pPr>
                  <a:defRPr/>
                </a:pPr>
                <a:endParaRPr lang="fr-FR"/>
              </a:p>
            </c:txPr>
            <c:showLegendKey val="0"/>
            <c:showVal val="1"/>
            <c:showCatName val="0"/>
            <c:showSerName val="0"/>
            <c:showPercent val="0"/>
            <c:showBubbleSize val="0"/>
            <c:showLeaderLines val="0"/>
          </c:dLbls>
          <c:cat>
            <c:multiLvlStrRef>
              <c:f>TableauxDynamiques!$A$36:$A$43</c:f>
              <c:multiLvlStrCache>
                <c:ptCount val="5"/>
                <c:lvl>
                  <c:pt idx="0">
                    <c:v>décembre</c:v>
                  </c:pt>
                  <c:pt idx="1">
                    <c:v>janvier</c:v>
                  </c:pt>
                  <c:pt idx="2">
                    <c:v>mars</c:v>
                  </c:pt>
                  <c:pt idx="3">
                    <c:v>avril</c:v>
                  </c:pt>
                  <c:pt idx="4">
                    <c:v>mai</c:v>
                  </c:pt>
                </c:lvl>
                <c:lvl>
                  <c:pt idx="0">
                    <c:v>2012</c:v>
                  </c:pt>
                  <c:pt idx="1">
                    <c:v>2013</c:v>
                  </c:pt>
                </c:lvl>
              </c:multiLvlStrCache>
            </c:multiLvlStrRef>
          </c:cat>
          <c:val>
            <c:numRef>
              <c:f>TableauxDynamiques!$D$36:$D$43</c:f>
              <c:numCache>
                <c:formatCode>General</c:formatCode>
                <c:ptCount val="5"/>
                <c:pt idx="1">
                  <c:v>11</c:v>
                </c:pt>
                <c:pt idx="3">
                  <c:v>20.5</c:v>
                </c:pt>
                <c:pt idx="4">
                  <c:v>21</c:v>
                </c:pt>
              </c:numCache>
            </c:numRef>
          </c:val>
        </c:ser>
        <c:ser>
          <c:idx val="3"/>
          <c:order val="3"/>
          <c:tx>
            <c:strRef>
              <c:f>TableauxDynamiques!$E$34:$E$35</c:f>
              <c:strCache>
                <c:ptCount val="1"/>
                <c:pt idx="0">
                  <c:v>4</c:v>
                </c:pt>
              </c:strCache>
            </c:strRef>
          </c:tx>
          <c:invertIfNegative val="0"/>
          <c:dLbls>
            <c:spPr/>
            <c:txPr>
              <a:bodyPr/>
              <a:lstStyle/>
              <a:p>
                <a:pPr>
                  <a:defRPr/>
                </a:pPr>
                <a:endParaRPr lang="fr-FR"/>
              </a:p>
            </c:txPr>
            <c:showLegendKey val="0"/>
            <c:showVal val="1"/>
            <c:showCatName val="0"/>
            <c:showSerName val="0"/>
            <c:showPercent val="0"/>
            <c:showBubbleSize val="0"/>
            <c:showLeaderLines val="0"/>
          </c:dLbls>
          <c:cat>
            <c:multiLvlStrRef>
              <c:f>TableauxDynamiques!$A$36:$A$43</c:f>
              <c:multiLvlStrCache>
                <c:ptCount val="5"/>
                <c:lvl>
                  <c:pt idx="0">
                    <c:v>décembre</c:v>
                  </c:pt>
                  <c:pt idx="1">
                    <c:v>janvier</c:v>
                  </c:pt>
                  <c:pt idx="2">
                    <c:v>mars</c:v>
                  </c:pt>
                  <c:pt idx="3">
                    <c:v>avril</c:v>
                  </c:pt>
                  <c:pt idx="4">
                    <c:v>mai</c:v>
                  </c:pt>
                </c:lvl>
                <c:lvl>
                  <c:pt idx="0">
                    <c:v>2012</c:v>
                  </c:pt>
                  <c:pt idx="1">
                    <c:v>2013</c:v>
                  </c:pt>
                </c:lvl>
              </c:multiLvlStrCache>
            </c:multiLvlStrRef>
          </c:cat>
          <c:val>
            <c:numRef>
              <c:f>TableauxDynamiques!$E$36:$E$43</c:f>
              <c:numCache>
                <c:formatCode>General</c:formatCode>
                <c:ptCount val="5"/>
                <c:pt idx="0">
                  <c:v>40</c:v>
                </c:pt>
                <c:pt idx="3">
                  <c:v>60</c:v>
                </c:pt>
                <c:pt idx="4">
                  <c:v>120</c:v>
                </c:pt>
              </c:numCache>
            </c:numRef>
          </c:val>
        </c:ser>
        <c:dLbls>
          <c:showLegendKey val="0"/>
          <c:showVal val="1"/>
          <c:showCatName val="0"/>
          <c:showSerName val="0"/>
          <c:showPercent val="0"/>
          <c:showBubbleSize val="0"/>
        </c:dLbls>
        <c:gapWidth val="150"/>
        <c:overlap val="100"/>
        <c:axId val="104641664"/>
        <c:axId val="104643200"/>
      </c:barChart>
      <c:catAx>
        <c:axId val="104641664"/>
        <c:scaling>
          <c:orientation val="minMax"/>
        </c:scaling>
        <c:delete val="0"/>
        <c:axPos val="b"/>
        <c:majorTickMark val="out"/>
        <c:minorTickMark val="none"/>
        <c:tickLblPos val="nextTo"/>
        <c:spPr>
          <a:ln>
            <a:noFill/>
          </a:ln>
        </c:spPr>
        <c:crossAx val="104643200"/>
        <c:crosses val="autoZero"/>
        <c:auto val="1"/>
        <c:lblAlgn val="ctr"/>
        <c:lblOffset val="100"/>
        <c:noMultiLvlLbl val="0"/>
      </c:catAx>
      <c:valAx>
        <c:axId val="104643200"/>
        <c:scaling>
          <c:orientation val="minMax"/>
        </c:scaling>
        <c:delete val="0"/>
        <c:axPos val="l"/>
        <c:numFmt formatCode="#,##0.00\ &quot;€&quot;" sourceLinked="0"/>
        <c:majorTickMark val="out"/>
        <c:minorTickMark val="none"/>
        <c:tickLblPos val="nextTo"/>
        <c:txPr>
          <a:bodyPr/>
          <a:lstStyle/>
          <a:p>
            <a:pPr>
              <a:defRPr sz="1050" b="1"/>
            </a:pPr>
            <a:endParaRPr lang="fr-FR"/>
          </a:p>
        </c:txPr>
        <c:crossAx val="104641664"/>
        <c:crosses val="autoZero"/>
        <c:crossBetween val="between"/>
      </c:valAx>
    </c:plotArea>
    <c:legend>
      <c:legendPos val="r"/>
      <c:overlay val="0"/>
    </c:legend>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trlProps/ctrlProp1.xml><?xml version="1.0" encoding="utf-8"?>
<formControlPr xmlns="http://schemas.microsoft.com/office/spreadsheetml/2009/9/main" objectType="Scroll" dx="16" horiz="1" max="5" min="1" page="10" val="4"/>
</file>

<file path=xl/drawings/_rels/drawing1.xml.rels><?xml version="1.0" encoding="UTF-8" standalone="yes"?>
<Relationships xmlns="http://schemas.openxmlformats.org/package/2006/relationships"><Relationship Id="rId3" Type="http://schemas.openxmlformats.org/officeDocument/2006/relationships/hyperlink" Target="#'Gestion des produits'!A1"/><Relationship Id="rId2" Type="http://schemas.openxmlformats.org/officeDocument/2006/relationships/hyperlink" Target="#'Gestion des stocks'!A1"/><Relationship Id="rId1" Type="http://schemas.openxmlformats.org/officeDocument/2006/relationships/hyperlink" Target="#'Budget Mensuel'!A1"/><Relationship Id="rId6" Type="http://schemas.openxmlformats.org/officeDocument/2006/relationships/image" Target="../media/image1.png"/><Relationship Id="rId5" Type="http://schemas.openxmlformats.org/officeDocument/2006/relationships/hyperlink" Target="#'Fiche de caisse'!A1"/><Relationship Id="rId4" Type="http://schemas.openxmlformats.org/officeDocument/2006/relationships/hyperlink" Target="#'Gestion des fournisseurs'!A1"/></Relationships>
</file>

<file path=xl/drawings/_rels/drawing2.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Journal des achats'!A1"/><Relationship Id="rId2" Type="http://schemas.openxmlformats.org/officeDocument/2006/relationships/hyperlink" Target="#Menu!A1"/><Relationship Id="rId1" Type="http://schemas.openxmlformats.org/officeDocument/2006/relationships/image" Target="../media/image1.png"/><Relationship Id="rId4" Type="http://schemas.openxmlformats.org/officeDocument/2006/relationships/hyperlink" Target="#'Journal des ventes'!A1"/></Relationships>
</file>

<file path=xl/drawings/_rels/drawing5.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Menu!A1"/><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hyperlink" Target="#Menu!A1"/><Relationship Id="rId1" Type="http://schemas.openxmlformats.org/officeDocument/2006/relationships/image" Target="../media/image1.png"/><Relationship Id="rId5" Type="http://schemas.openxmlformats.org/officeDocument/2006/relationships/hyperlink" Target="#'Historique journ&#233;e'!A1"/><Relationship Id="rId4" Type="http://schemas.openxmlformats.org/officeDocument/2006/relationships/image" Target="../media/image3.jpg"/></Relationships>
</file>

<file path=xl/drawings/_rels/drawing10.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hyperlink" Target="#Menu!A1"/><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image" Target="../media/image5.jpe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3</xdr:col>
      <xdr:colOff>761999</xdr:colOff>
      <xdr:row>17</xdr:row>
      <xdr:rowOff>66675</xdr:rowOff>
    </xdr:from>
    <xdr:to>
      <xdr:col>6</xdr:col>
      <xdr:colOff>485774</xdr:colOff>
      <xdr:row>20</xdr:row>
      <xdr:rowOff>38100</xdr:rowOff>
    </xdr:to>
    <xdr:sp macro="[0]!Rectangle1_Cliquer" textlink="">
      <xdr:nvSpPr>
        <xdr:cNvPr id="2" name="Rectangle 1">
          <a:hlinkClick xmlns:r="http://schemas.openxmlformats.org/officeDocument/2006/relationships" r:id="rId1"/>
        </xdr:cNvPr>
        <xdr:cNvSpPr/>
      </xdr:nvSpPr>
      <xdr:spPr>
        <a:xfrm>
          <a:off x="3047999" y="3409950"/>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100"/>
            <a:t>Budget mensuel</a:t>
          </a:r>
        </a:p>
      </xdr:txBody>
    </xdr:sp>
    <xdr:clientData/>
  </xdr:twoCellAnchor>
  <xdr:twoCellAnchor editAs="oneCell">
    <xdr:from>
      <xdr:col>8</xdr:col>
      <xdr:colOff>0</xdr:colOff>
      <xdr:row>18</xdr:row>
      <xdr:rowOff>0</xdr:rowOff>
    </xdr:from>
    <xdr:to>
      <xdr:col>8</xdr:col>
      <xdr:colOff>304800</xdr:colOff>
      <xdr:row>19</xdr:row>
      <xdr:rowOff>114300</xdr:rowOff>
    </xdr:to>
    <xdr:sp macro="" textlink="">
      <xdr:nvSpPr>
        <xdr:cNvPr id="1025" name="AutoShape 1" descr="https://groupe4miage.googlegroups.com/attach/aa5975d7e918c580/banni%C3%A8re.png?view=1&amp;part=4&amp;hl=fr"/>
        <xdr:cNvSpPr>
          <a:spLocks noChangeAspect="1" noChangeArrowheads="1"/>
        </xdr:cNvSpPr>
      </xdr:nvSpPr>
      <xdr:spPr bwMode="auto">
        <a:xfrm>
          <a:off x="5334000" y="34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6</xdr:col>
      <xdr:colOff>123824</xdr:colOff>
      <xdr:row>8</xdr:row>
      <xdr:rowOff>57150</xdr:rowOff>
    </xdr:from>
    <xdr:to>
      <xdr:col>8</xdr:col>
      <xdr:colOff>609599</xdr:colOff>
      <xdr:row>11</xdr:row>
      <xdr:rowOff>28575</xdr:rowOff>
    </xdr:to>
    <xdr:sp macro="[0]!Rectangle1_Cliquer" textlink="">
      <xdr:nvSpPr>
        <xdr:cNvPr id="5" name="Rectangle 4">
          <a:hlinkClick xmlns:r="http://schemas.openxmlformats.org/officeDocument/2006/relationships" r:id="rId2"/>
        </xdr:cNvPr>
        <xdr:cNvSpPr/>
      </xdr:nvSpPr>
      <xdr:spPr>
        <a:xfrm>
          <a:off x="4695824" y="168592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stocks</a:t>
          </a:r>
        </a:p>
      </xdr:txBody>
    </xdr:sp>
    <xdr:clientData/>
  </xdr:twoCellAnchor>
  <xdr:twoCellAnchor>
    <xdr:from>
      <xdr:col>8</xdr:col>
      <xdr:colOff>190499</xdr:colOff>
      <xdr:row>12</xdr:row>
      <xdr:rowOff>142875</xdr:rowOff>
    </xdr:from>
    <xdr:to>
      <xdr:col>10</xdr:col>
      <xdr:colOff>676274</xdr:colOff>
      <xdr:row>15</xdr:row>
      <xdr:rowOff>114300</xdr:rowOff>
    </xdr:to>
    <xdr:sp macro="[0]!Rectangle1_Cliquer" textlink="">
      <xdr:nvSpPr>
        <xdr:cNvPr id="6" name="Rectangle 5">
          <a:hlinkClick xmlns:r="http://schemas.openxmlformats.org/officeDocument/2006/relationships" r:id="rId3"/>
        </xdr:cNvPr>
        <xdr:cNvSpPr/>
      </xdr:nvSpPr>
      <xdr:spPr>
        <a:xfrm>
          <a:off x="6286499" y="2533650"/>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produits</a:t>
          </a:r>
        </a:p>
      </xdr:txBody>
    </xdr:sp>
    <xdr:clientData/>
  </xdr:twoCellAnchor>
  <xdr:twoCellAnchor>
    <xdr:from>
      <xdr:col>8</xdr:col>
      <xdr:colOff>161924</xdr:colOff>
      <xdr:row>17</xdr:row>
      <xdr:rowOff>38100</xdr:rowOff>
    </xdr:from>
    <xdr:to>
      <xdr:col>10</xdr:col>
      <xdr:colOff>647699</xdr:colOff>
      <xdr:row>20</xdr:row>
      <xdr:rowOff>9525</xdr:rowOff>
    </xdr:to>
    <xdr:sp macro="[0]!Rectangle1_Cliquer" textlink="">
      <xdr:nvSpPr>
        <xdr:cNvPr id="7" name="Rectangle 6">
          <a:hlinkClick xmlns:r="http://schemas.openxmlformats.org/officeDocument/2006/relationships" r:id="rId4"/>
        </xdr:cNvPr>
        <xdr:cNvSpPr/>
      </xdr:nvSpPr>
      <xdr:spPr>
        <a:xfrm>
          <a:off x="6257924" y="338137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fournisseurs</a:t>
          </a:r>
        </a:p>
      </xdr:txBody>
    </xdr:sp>
    <xdr:clientData/>
  </xdr:twoCellAnchor>
  <xdr:twoCellAnchor>
    <xdr:from>
      <xdr:col>3</xdr:col>
      <xdr:colOff>761999</xdr:colOff>
      <xdr:row>12</xdr:row>
      <xdr:rowOff>152400</xdr:rowOff>
    </xdr:from>
    <xdr:to>
      <xdr:col>6</xdr:col>
      <xdr:colOff>485774</xdr:colOff>
      <xdr:row>15</xdr:row>
      <xdr:rowOff>123825</xdr:rowOff>
    </xdr:to>
    <xdr:sp macro="[0]!MiseAJourTDB" textlink="">
      <xdr:nvSpPr>
        <xdr:cNvPr id="8" name="Rectangle 7"/>
        <xdr:cNvSpPr/>
      </xdr:nvSpPr>
      <xdr:spPr>
        <a:xfrm>
          <a:off x="3047999" y="254317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100"/>
            <a:t>Tableau</a:t>
          </a:r>
          <a:r>
            <a:rPr lang="fr-FR" sz="1100" baseline="0"/>
            <a:t> de bord</a:t>
          </a:r>
          <a:endParaRPr lang="fr-FR" sz="1100"/>
        </a:p>
      </xdr:txBody>
    </xdr:sp>
    <xdr:clientData/>
  </xdr:twoCellAnchor>
  <xdr:twoCellAnchor>
    <xdr:from>
      <xdr:col>6</xdr:col>
      <xdr:colOff>85725</xdr:colOff>
      <xdr:row>21</xdr:row>
      <xdr:rowOff>133350</xdr:rowOff>
    </xdr:from>
    <xdr:to>
      <xdr:col>8</xdr:col>
      <xdr:colOff>571500</xdr:colOff>
      <xdr:row>24</xdr:row>
      <xdr:rowOff>104775</xdr:rowOff>
    </xdr:to>
    <xdr:sp macro="[0]!Rectangle1_Cliquer" textlink="">
      <xdr:nvSpPr>
        <xdr:cNvPr id="9" name="Rectangle 8">
          <a:hlinkClick xmlns:r="http://schemas.openxmlformats.org/officeDocument/2006/relationships" r:id="rId5"/>
        </xdr:cNvPr>
        <xdr:cNvSpPr/>
      </xdr:nvSpPr>
      <xdr:spPr>
        <a:xfrm>
          <a:off x="4657725" y="423862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Fiche de caisse</a:t>
          </a:r>
        </a:p>
      </xdr:txBody>
    </xdr:sp>
    <xdr:clientData/>
  </xdr:twoCellAnchor>
  <xdr:twoCellAnchor>
    <xdr:from>
      <xdr:col>13</xdr:col>
      <xdr:colOff>657225</xdr:colOff>
      <xdr:row>5</xdr:row>
      <xdr:rowOff>190499</xdr:rowOff>
    </xdr:from>
    <xdr:to>
      <xdr:col>15</xdr:col>
      <xdr:colOff>266700</xdr:colOff>
      <xdr:row>8</xdr:row>
      <xdr:rowOff>142874</xdr:rowOff>
    </xdr:to>
    <xdr:sp macro="[0]!Enregistrer_et_quitter" textlink="">
      <xdr:nvSpPr>
        <xdr:cNvPr id="3" name="Rectangle à coins arrondis 2"/>
        <xdr:cNvSpPr/>
      </xdr:nvSpPr>
      <xdr:spPr>
        <a:xfrm>
          <a:off x="10563225" y="124777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13</xdr:col>
      <xdr:colOff>647700</xdr:colOff>
      <xdr:row>2</xdr:row>
      <xdr:rowOff>171450</xdr:rowOff>
    </xdr:from>
    <xdr:to>
      <xdr:col>15</xdr:col>
      <xdr:colOff>257175</xdr:colOff>
      <xdr:row>5</xdr:row>
      <xdr:rowOff>19050</xdr:rowOff>
    </xdr:to>
    <xdr:sp macro="[0]!Enregistrer" textlink="">
      <xdr:nvSpPr>
        <xdr:cNvPr id="12" name="Rectangle à coins arrondis 11"/>
        <xdr:cNvSpPr/>
      </xdr:nvSpPr>
      <xdr:spPr>
        <a:xfrm>
          <a:off x="10553700" y="5524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editAs="oneCell">
    <xdr:from>
      <xdr:col>0</xdr:col>
      <xdr:colOff>0</xdr:colOff>
      <xdr:row>0</xdr:row>
      <xdr:rowOff>0</xdr:rowOff>
    </xdr:from>
    <xdr:to>
      <xdr:col>7</xdr:col>
      <xdr:colOff>116503</xdr:colOff>
      <xdr:row>5</xdr:row>
      <xdr:rowOff>95716</xdr:rowOff>
    </xdr:to>
    <xdr:pic>
      <xdr:nvPicPr>
        <xdr:cNvPr id="11" name="Image 1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3</xdr:col>
      <xdr:colOff>1783378</xdr:colOff>
      <xdr:row>6</xdr:row>
      <xdr:rowOff>19516</xdr:rowOff>
    </xdr:to>
    <xdr:pic>
      <xdr:nvPicPr>
        <xdr:cNvPr id="3" name="Imag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5450503" cy="1152991"/>
        </a:xfrm>
        <a:prstGeom prst="rect">
          <a:avLst/>
        </a:prstGeom>
      </xdr:spPr>
    </xdr:pic>
    <xdr:clientData fPrintsWithSheet="0"/>
  </xdr:twoCellAnchor>
  <xdr:twoCellAnchor>
    <xdr:from>
      <xdr:col>1</xdr:col>
      <xdr:colOff>666750</xdr:colOff>
      <xdr:row>8</xdr:row>
      <xdr:rowOff>123826</xdr:rowOff>
    </xdr:from>
    <xdr:to>
      <xdr:col>2</xdr:col>
      <xdr:colOff>1285875</xdr:colOff>
      <xdr:row>10</xdr:row>
      <xdr:rowOff>209551</xdr:rowOff>
    </xdr:to>
    <xdr:sp macro="[0]!AjouterProduit" textlink="">
      <xdr:nvSpPr>
        <xdr:cNvPr id="4" name="Rectangle à coins arrondis 3"/>
        <xdr:cNvSpPr/>
      </xdr:nvSpPr>
      <xdr:spPr>
        <a:xfrm>
          <a:off x="1428750" y="1857376"/>
          <a:ext cx="2019300"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a:t>
          </a:r>
          <a:r>
            <a:rPr lang="fr-FR" sz="1100" baseline="0"/>
            <a:t> un produit</a:t>
          </a:r>
        </a:p>
      </xdr:txBody>
    </xdr:sp>
    <xdr:clientData/>
  </xdr:twoCellAnchor>
  <xdr:twoCellAnchor>
    <xdr:from>
      <xdr:col>3</xdr:col>
      <xdr:colOff>609599</xdr:colOff>
      <xdr:row>8</xdr:row>
      <xdr:rowOff>123826</xdr:rowOff>
    </xdr:from>
    <xdr:to>
      <xdr:col>4</xdr:col>
      <xdr:colOff>419099</xdr:colOff>
      <xdr:row>10</xdr:row>
      <xdr:rowOff>209551</xdr:rowOff>
    </xdr:to>
    <xdr:sp macro="[0]!ModifierProduit" textlink="">
      <xdr:nvSpPr>
        <xdr:cNvPr id="5" name="Rectangle à coins arrondis 4"/>
        <xdr:cNvSpPr/>
      </xdr:nvSpPr>
      <xdr:spPr>
        <a:xfrm>
          <a:off x="4276724" y="1857376"/>
          <a:ext cx="2105025"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aseline="0"/>
            <a:t>Modifier  un produit</a:t>
          </a:r>
        </a:p>
      </xdr:txBody>
    </xdr:sp>
    <xdr:clientData/>
  </xdr:twoCellAnchor>
  <xdr:twoCellAnchor>
    <xdr:from>
      <xdr:col>7</xdr:col>
      <xdr:colOff>323849</xdr:colOff>
      <xdr:row>2</xdr:row>
      <xdr:rowOff>38100</xdr:rowOff>
    </xdr:from>
    <xdr:to>
      <xdr:col>8</xdr:col>
      <xdr:colOff>685799</xdr:colOff>
      <xdr:row>4</xdr:row>
      <xdr:rowOff>180975</xdr:rowOff>
    </xdr:to>
    <xdr:sp macro="" textlink="">
      <xdr:nvSpPr>
        <xdr:cNvPr id="6" name="Rectangle à coins arrondis 5">
          <a:hlinkClick xmlns:r="http://schemas.openxmlformats.org/officeDocument/2006/relationships" r:id="rId2"/>
        </xdr:cNvPr>
        <xdr:cNvSpPr/>
      </xdr:nvSpPr>
      <xdr:spPr>
        <a:xfrm>
          <a:off x="9058274" y="419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323849</xdr:colOff>
      <xdr:row>5</xdr:row>
      <xdr:rowOff>142876</xdr:rowOff>
    </xdr:from>
    <xdr:to>
      <xdr:col>8</xdr:col>
      <xdr:colOff>685799</xdr:colOff>
      <xdr:row>7</xdr:row>
      <xdr:rowOff>114300</xdr:rowOff>
    </xdr:to>
    <xdr:sp macro="[0]!Enregistrer" textlink="">
      <xdr:nvSpPr>
        <xdr:cNvPr id="7" name="Rectangle à coins arrondis 6"/>
        <xdr:cNvSpPr/>
      </xdr:nvSpPr>
      <xdr:spPr>
        <a:xfrm>
          <a:off x="9058274" y="1095376"/>
          <a:ext cx="1133475" cy="457199"/>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323849</xdr:colOff>
      <xdr:row>7</xdr:row>
      <xdr:rowOff>266700</xdr:rowOff>
    </xdr:from>
    <xdr:to>
      <xdr:col>8</xdr:col>
      <xdr:colOff>685799</xdr:colOff>
      <xdr:row>9</xdr:row>
      <xdr:rowOff>200025</xdr:rowOff>
    </xdr:to>
    <xdr:sp macro="[0]!Enregistrer_et_quitter" textlink="">
      <xdr:nvSpPr>
        <xdr:cNvPr id="8" name="Rectangle à coins arrondis 7"/>
        <xdr:cNvSpPr/>
      </xdr:nvSpPr>
      <xdr:spPr>
        <a:xfrm>
          <a:off x="9058274" y="1704975"/>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457201</xdr:colOff>
      <xdr:row>10</xdr:row>
      <xdr:rowOff>9525</xdr:rowOff>
    </xdr:from>
    <xdr:to>
      <xdr:col>3</xdr:col>
      <xdr:colOff>1545715</xdr:colOff>
      <xdr:row>13</xdr:row>
      <xdr:rowOff>114300</xdr:rowOff>
    </xdr:to>
    <xdr:sp macro="[0]!AjouterFournisseur" textlink="">
      <xdr:nvSpPr>
        <xdr:cNvPr id="2" name="Rectangle à coins arrondis 1"/>
        <xdr:cNvSpPr/>
      </xdr:nvSpPr>
      <xdr:spPr>
        <a:xfrm>
          <a:off x="1981201" y="2019300"/>
          <a:ext cx="1936239"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a:t>
          </a:r>
          <a:r>
            <a:rPr lang="fr-FR" sz="1100" baseline="0"/>
            <a:t> un fournisseur</a:t>
          </a:r>
        </a:p>
      </xdr:txBody>
    </xdr:sp>
    <xdr:clientData/>
  </xdr:twoCellAnchor>
  <xdr:twoCellAnchor>
    <xdr:from>
      <xdr:col>4</xdr:col>
      <xdr:colOff>209551</xdr:colOff>
      <xdr:row>10</xdr:row>
      <xdr:rowOff>9525</xdr:rowOff>
    </xdr:from>
    <xdr:to>
      <xdr:col>4</xdr:col>
      <xdr:colOff>2200275</xdr:colOff>
      <xdr:row>13</xdr:row>
      <xdr:rowOff>114300</xdr:rowOff>
    </xdr:to>
    <xdr:sp macro="[0]!ModifierFournisseur" textlink="">
      <xdr:nvSpPr>
        <xdr:cNvPr id="4" name="Rectangle à coins arrondis 3"/>
        <xdr:cNvSpPr/>
      </xdr:nvSpPr>
      <xdr:spPr>
        <a:xfrm>
          <a:off x="4305301" y="2019300"/>
          <a:ext cx="1990724"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aseline="0"/>
            <a:t>Modifier  un fournisseur</a:t>
          </a:r>
        </a:p>
      </xdr:txBody>
    </xdr:sp>
    <xdr:clientData/>
  </xdr:twoCellAnchor>
  <xdr:twoCellAnchor editAs="oneCell">
    <xdr:from>
      <xdr:col>0</xdr:col>
      <xdr:colOff>0</xdr:colOff>
      <xdr:row>0</xdr:row>
      <xdr:rowOff>0</xdr:rowOff>
    </xdr:from>
    <xdr:to>
      <xdr:col>4</xdr:col>
      <xdr:colOff>1354753</xdr:colOff>
      <xdr:row>6</xdr:row>
      <xdr:rowOff>9991</xdr:rowOff>
    </xdr:to>
    <xdr:pic>
      <xdr:nvPicPr>
        <xdr:cNvPr id="5" name="Imag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7</xdr:col>
      <xdr:colOff>142875</xdr:colOff>
      <xdr:row>2</xdr:row>
      <xdr:rowOff>123824</xdr:rowOff>
    </xdr:from>
    <xdr:to>
      <xdr:col>8</xdr:col>
      <xdr:colOff>504825</xdr:colOff>
      <xdr:row>5</xdr:row>
      <xdr:rowOff>76199</xdr:rowOff>
    </xdr:to>
    <xdr:sp macro="" textlink="">
      <xdr:nvSpPr>
        <xdr:cNvPr id="6" name="Rectangle à coins arrondis 5">
          <a:hlinkClick xmlns:r="http://schemas.openxmlformats.org/officeDocument/2006/relationships" r:id="rId2"/>
        </xdr:cNvPr>
        <xdr:cNvSpPr/>
      </xdr:nvSpPr>
      <xdr:spPr>
        <a:xfrm>
          <a:off x="10553700" y="50482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142875</xdr:colOff>
      <xdr:row>6</xdr:row>
      <xdr:rowOff>38100</xdr:rowOff>
    </xdr:from>
    <xdr:to>
      <xdr:col>8</xdr:col>
      <xdr:colOff>504825</xdr:colOff>
      <xdr:row>8</xdr:row>
      <xdr:rowOff>76200</xdr:rowOff>
    </xdr:to>
    <xdr:sp macro="[0]!Enregistrer" textlink="">
      <xdr:nvSpPr>
        <xdr:cNvPr id="7" name="Rectangle à coins arrondis 6"/>
        <xdr:cNvSpPr/>
      </xdr:nvSpPr>
      <xdr:spPr>
        <a:xfrm>
          <a:off x="10553700" y="1181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142875</xdr:colOff>
      <xdr:row>9</xdr:row>
      <xdr:rowOff>57149</xdr:rowOff>
    </xdr:from>
    <xdr:to>
      <xdr:col>8</xdr:col>
      <xdr:colOff>504825</xdr:colOff>
      <xdr:row>12</xdr:row>
      <xdr:rowOff>9524</xdr:rowOff>
    </xdr:to>
    <xdr:sp macro="[0]!Enregistrer_et_quitter" textlink="">
      <xdr:nvSpPr>
        <xdr:cNvPr id="8" name="Rectangle à coins arrondis 7"/>
        <xdr:cNvSpPr/>
      </xdr:nvSpPr>
      <xdr:spPr>
        <a:xfrm>
          <a:off x="10553700" y="187642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392728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66675</xdr:colOff>
      <xdr:row>3</xdr:row>
      <xdr:rowOff>0</xdr:rowOff>
    </xdr:from>
    <xdr:to>
      <xdr:col>9</xdr:col>
      <xdr:colOff>428625</xdr:colOff>
      <xdr:row>5</xdr:row>
      <xdr:rowOff>142875</xdr:rowOff>
    </xdr:to>
    <xdr:sp macro="" textlink="">
      <xdr:nvSpPr>
        <xdr:cNvPr id="3" name="Rectangle à coins arrondis 2">
          <a:hlinkClick xmlns:r="http://schemas.openxmlformats.org/officeDocument/2006/relationships" r:id="rId2"/>
        </xdr:cNvPr>
        <xdr:cNvSpPr/>
      </xdr:nvSpPr>
      <xdr:spPr>
        <a:xfrm>
          <a:off x="9944100" y="5715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66675</xdr:colOff>
      <xdr:row>6</xdr:row>
      <xdr:rowOff>104776</xdr:rowOff>
    </xdr:from>
    <xdr:to>
      <xdr:col>9</xdr:col>
      <xdr:colOff>428625</xdr:colOff>
      <xdr:row>8</xdr:row>
      <xdr:rowOff>142876</xdr:rowOff>
    </xdr:to>
    <xdr:sp macro="[0]!Enregistrer" textlink="">
      <xdr:nvSpPr>
        <xdr:cNvPr id="4" name="Rectangle à coins arrondis 3"/>
        <xdr:cNvSpPr/>
      </xdr:nvSpPr>
      <xdr:spPr>
        <a:xfrm>
          <a:off x="9944100" y="124777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66675</xdr:colOff>
      <xdr:row>9</xdr:row>
      <xdr:rowOff>123825</xdr:rowOff>
    </xdr:from>
    <xdr:to>
      <xdr:col>9</xdr:col>
      <xdr:colOff>428625</xdr:colOff>
      <xdr:row>12</xdr:row>
      <xdr:rowOff>76200</xdr:rowOff>
    </xdr:to>
    <xdr:sp macro="[0]!Enregistrer_et_quitter" textlink="">
      <xdr:nvSpPr>
        <xdr:cNvPr id="5" name="Rectangle à coins arrondis 4"/>
        <xdr:cNvSpPr/>
      </xdr:nvSpPr>
      <xdr:spPr>
        <a:xfrm>
          <a:off x="9944100" y="1943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1</xdr:col>
      <xdr:colOff>285750</xdr:colOff>
      <xdr:row>10</xdr:row>
      <xdr:rowOff>85725</xdr:rowOff>
    </xdr:from>
    <xdr:to>
      <xdr:col>2</xdr:col>
      <xdr:colOff>876300</xdr:colOff>
      <xdr:row>15</xdr:row>
      <xdr:rowOff>38100</xdr:rowOff>
    </xdr:to>
    <xdr:sp macro="" textlink="">
      <xdr:nvSpPr>
        <xdr:cNvPr id="9" name="Rectangle à coins arrondis 8">
          <a:hlinkClick xmlns:r="http://schemas.openxmlformats.org/officeDocument/2006/relationships" r:id="rId3"/>
        </xdr:cNvPr>
        <xdr:cNvSpPr/>
      </xdr:nvSpPr>
      <xdr:spPr>
        <a:xfrm>
          <a:off x="1047750" y="2095500"/>
          <a:ext cx="1895475" cy="9048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Journal</a:t>
          </a:r>
          <a:r>
            <a:rPr lang="fr-FR" sz="1100" baseline="0"/>
            <a:t> des achats</a:t>
          </a:r>
          <a:endParaRPr lang="fr-FR" sz="1100"/>
        </a:p>
      </xdr:txBody>
    </xdr:sp>
    <xdr:clientData/>
  </xdr:twoCellAnchor>
  <xdr:twoCellAnchor>
    <xdr:from>
      <xdr:col>2</xdr:col>
      <xdr:colOff>1743075</xdr:colOff>
      <xdr:row>10</xdr:row>
      <xdr:rowOff>76200</xdr:rowOff>
    </xdr:from>
    <xdr:to>
      <xdr:col>4</xdr:col>
      <xdr:colOff>619125</xdr:colOff>
      <xdr:row>15</xdr:row>
      <xdr:rowOff>47625</xdr:rowOff>
    </xdr:to>
    <xdr:sp macro="" textlink="">
      <xdr:nvSpPr>
        <xdr:cNvPr id="10" name="Rectangle à coins arrondis 9">
          <a:hlinkClick xmlns:r="http://schemas.openxmlformats.org/officeDocument/2006/relationships" r:id="rId4"/>
        </xdr:cNvPr>
        <xdr:cNvSpPr/>
      </xdr:nvSpPr>
      <xdr:spPr>
        <a:xfrm>
          <a:off x="3810000" y="2085975"/>
          <a:ext cx="1866900" cy="923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Journal des ventes</a:t>
          </a:r>
        </a:p>
      </xdr:txBody>
    </xdr:sp>
    <xdr:clientData/>
  </xdr:twoCellAnchor>
  <xdr:twoCellAnchor>
    <xdr:from>
      <xdr:col>2</xdr:col>
      <xdr:colOff>361950</xdr:colOff>
      <xdr:row>17</xdr:row>
      <xdr:rowOff>19050</xdr:rowOff>
    </xdr:from>
    <xdr:to>
      <xdr:col>3</xdr:col>
      <xdr:colOff>47625</xdr:colOff>
      <xdr:row>21</xdr:row>
      <xdr:rowOff>152400</xdr:rowOff>
    </xdr:to>
    <xdr:sp macro="[0]!VueDesStocks" textlink="">
      <xdr:nvSpPr>
        <xdr:cNvPr id="11" name="Rectangle à coins arrondis 10"/>
        <xdr:cNvSpPr/>
      </xdr:nvSpPr>
      <xdr:spPr>
        <a:xfrm>
          <a:off x="2428875" y="3362325"/>
          <a:ext cx="1876425" cy="895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Vue des stocks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0</xdr:row>
      <xdr:rowOff>142875</xdr:rowOff>
    </xdr:from>
    <xdr:to>
      <xdr:col>9</xdr:col>
      <xdr:colOff>1028700</xdr:colOff>
      <xdr:row>3</xdr:row>
      <xdr:rowOff>95250</xdr:rowOff>
    </xdr:to>
    <xdr:sp macro="" textlink="">
      <xdr:nvSpPr>
        <xdr:cNvPr id="3" name="Rectangle à coins arrondis 2">
          <a:hlinkClick xmlns:r="http://schemas.openxmlformats.org/officeDocument/2006/relationships" r:id="rId1"/>
        </xdr:cNvPr>
        <xdr:cNvSpPr/>
      </xdr:nvSpPr>
      <xdr:spPr>
        <a:xfrm>
          <a:off x="9925050" y="142875"/>
          <a:ext cx="1028700"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0</xdr:colOff>
      <xdr:row>4</xdr:row>
      <xdr:rowOff>57151</xdr:rowOff>
    </xdr:from>
    <xdr:to>
      <xdr:col>9</xdr:col>
      <xdr:colOff>1076325</xdr:colOff>
      <xdr:row>7</xdr:row>
      <xdr:rowOff>9526</xdr:rowOff>
    </xdr:to>
    <xdr:sp macro="[0]!Enregistrer" textlink="">
      <xdr:nvSpPr>
        <xdr:cNvPr id="4" name="Rectangle à coins arrondis 3"/>
        <xdr:cNvSpPr/>
      </xdr:nvSpPr>
      <xdr:spPr>
        <a:xfrm>
          <a:off x="9925050" y="819151"/>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0</xdr:colOff>
      <xdr:row>7</xdr:row>
      <xdr:rowOff>180975</xdr:rowOff>
    </xdr:from>
    <xdr:to>
      <xdr:col>9</xdr:col>
      <xdr:colOff>1104900</xdr:colOff>
      <xdr:row>10</xdr:row>
      <xdr:rowOff>133350</xdr:rowOff>
    </xdr:to>
    <xdr:sp macro="[0]!Enregistrer_et_quitter" textlink="">
      <xdr:nvSpPr>
        <xdr:cNvPr id="5" name="Rectangle à coins arrondis 4"/>
        <xdr:cNvSpPr/>
      </xdr:nvSpPr>
      <xdr:spPr>
        <a:xfrm>
          <a:off x="9925050" y="1514475"/>
          <a:ext cx="1104900" cy="6286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4</xdr:col>
      <xdr:colOff>2421553</xdr:colOff>
      <xdr:row>6</xdr:row>
      <xdr:rowOff>9991</xdr:rowOff>
    </xdr:to>
    <xdr:pic>
      <xdr:nvPicPr>
        <xdr:cNvPr id="6" name="Imag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4</xdr:col>
      <xdr:colOff>2266950</xdr:colOff>
      <xdr:row>12</xdr:row>
      <xdr:rowOff>9525</xdr:rowOff>
    </xdr:from>
    <xdr:to>
      <xdr:col>6</xdr:col>
      <xdr:colOff>104775</xdr:colOff>
      <xdr:row>15</xdr:row>
      <xdr:rowOff>104774</xdr:rowOff>
    </xdr:to>
    <xdr:sp macro="" textlink="">
      <xdr:nvSpPr>
        <xdr:cNvPr id="7" name="Rectangle à coins arrondis 6">
          <a:hlinkClick xmlns:r="http://schemas.openxmlformats.org/officeDocument/2006/relationships" r:id="rId3"/>
        </xdr:cNvPr>
        <xdr:cNvSpPr/>
      </xdr:nvSpPr>
      <xdr:spPr>
        <a:xfrm>
          <a:off x="5295900" y="2400300"/>
          <a:ext cx="1628775" cy="6667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twoCellAnchor>
    <xdr:from>
      <xdr:col>1</xdr:col>
      <xdr:colOff>523876</xdr:colOff>
      <xdr:row>12</xdr:row>
      <xdr:rowOff>19051</xdr:rowOff>
    </xdr:from>
    <xdr:to>
      <xdr:col>3</xdr:col>
      <xdr:colOff>700405</xdr:colOff>
      <xdr:row>15</xdr:row>
      <xdr:rowOff>104775</xdr:rowOff>
    </xdr:to>
    <xdr:sp macro="[0]!AjouterStock" textlink="">
      <xdr:nvSpPr>
        <xdr:cNvPr id="8" name="Rectangle à coins arrondis 7"/>
        <xdr:cNvSpPr/>
      </xdr:nvSpPr>
      <xdr:spPr>
        <a:xfrm>
          <a:off x="1285876" y="2409826"/>
          <a:ext cx="1652904" cy="65722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des produits</a:t>
          </a:r>
          <a:r>
            <a:rPr lang="fr-FR" sz="1100" baseline="0"/>
            <a:t> en stock</a:t>
          </a:r>
          <a:endParaRPr lang="fr-FR" sz="1100"/>
        </a:p>
      </xdr:txBody>
    </xdr:sp>
    <xdr:clientData/>
  </xdr:twoCellAnchor>
  <xdr:twoCellAnchor>
    <xdr:from>
      <xdr:col>4</xdr:col>
      <xdr:colOff>304801</xdr:colOff>
      <xdr:row>12</xdr:row>
      <xdr:rowOff>9525</xdr:rowOff>
    </xdr:from>
    <xdr:to>
      <xdr:col>4</xdr:col>
      <xdr:colOff>1818959</xdr:colOff>
      <xdr:row>15</xdr:row>
      <xdr:rowOff>105074</xdr:rowOff>
    </xdr:to>
    <xdr:sp macro="[0]!ModifierAchat" textlink="">
      <xdr:nvSpPr>
        <xdr:cNvPr id="9" name="Rectangle à coins arrondis 8"/>
        <xdr:cNvSpPr/>
      </xdr:nvSpPr>
      <xdr:spPr>
        <a:xfrm>
          <a:off x="3333751" y="2400300"/>
          <a:ext cx="1514158" cy="6670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 achat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552450</xdr:colOff>
      <xdr:row>1</xdr:row>
      <xdr:rowOff>38100</xdr:rowOff>
    </xdr:from>
    <xdr:to>
      <xdr:col>10</xdr:col>
      <xdr:colOff>904875</xdr:colOff>
      <xdr:row>3</xdr:row>
      <xdr:rowOff>180975</xdr:rowOff>
    </xdr:to>
    <xdr:sp macro="" textlink="">
      <xdr:nvSpPr>
        <xdr:cNvPr id="5" name="Rectangle à coins arrondis 4">
          <a:hlinkClick xmlns:r="http://schemas.openxmlformats.org/officeDocument/2006/relationships" r:id="rId1"/>
        </xdr:cNvPr>
        <xdr:cNvSpPr/>
      </xdr:nvSpPr>
      <xdr:spPr>
        <a:xfrm>
          <a:off x="9991725" y="228600"/>
          <a:ext cx="1028700"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552450</xdr:colOff>
      <xdr:row>4</xdr:row>
      <xdr:rowOff>142876</xdr:rowOff>
    </xdr:from>
    <xdr:to>
      <xdr:col>10</xdr:col>
      <xdr:colOff>933450</xdr:colOff>
      <xdr:row>7</xdr:row>
      <xdr:rowOff>95251</xdr:rowOff>
    </xdr:to>
    <xdr:sp macro="[0]!Enregistrer" textlink="">
      <xdr:nvSpPr>
        <xdr:cNvPr id="6" name="Rectangle à coins arrondis 5"/>
        <xdr:cNvSpPr/>
      </xdr:nvSpPr>
      <xdr:spPr>
        <a:xfrm>
          <a:off x="9991725" y="904876"/>
          <a:ext cx="10572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552450</xdr:colOff>
      <xdr:row>7</xdr:row>
      <xdr:rowOff>247650</xdr:rowOff>
    </xdr:from>
    <xdr:to>
      <xdr:col>11</xdr:col>
      <xdr:colOff>0</xdr:colOff>
      <xdr:row>10</xdr:row>
      <xdr:rowOff>95250</xdr:rowOff>
    </xdr:to>
    <xdr:sp macro="[0]!Enregistrer_et_quitter" textlink="">
      <xdr:nvSpPr>
        <xdr:cNvPr id="7" name="Rectangle à coins arrondis 6"/>
        <xdr:cNvSpPr/>
      </xdr:nvSpPr>
      <xdr:spPr>
        <a:xfrm>
          <a:off x="9991725" y="1581150"/>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5</xdr:col>
      <xdr:colOff>1078528</xdr:colOff>
      <xdr:row>6</xdr:row>
      <xdr:rowOff>9991</xdr:rowOff>
    </xdr:to>
    <xdr:pic>
      <xdr:nvPicPr>
        <xdr:cNvPr id="8" name="Image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3</xdr:col>
      <xdr:colOff>238125</xdr:colOff>
      <xdr:row>10</xdr:row>
      <xdr:rowOff>0</xdr:rowOff>
    </xdr:from>
    <xdr:to>
      <xdr:col>5</xdr:col>
      <xdr:colOff>285750</xdr:colOff>
      <xdr:row>13</xdr:row>
      <xdr:rowOff>76200</xdr:rowOff>
    </xdr:to>
    <xdr:sp macro="[0]!ModifierVente" textlink="">
      <xdr:nvSpPr>
        <xdr:cNvPr id="10" name="Rectangle à coins arrondis 9"/>
        <xdr:cNvSpPr/>
      </xdr:nvSpPr>
      <xdr:spPr>
        <a:xfrm>
          <a:off x="3057525" y="2009775"/>
          <a:ext cx="1600200"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une vente</a:t>
          </a:r>
        </a:p>
      </xdr:txBody>
    </xdr:sp>
    <xdr:clientData/>
  </xdr:twoCellAnchor>
  <xdr:twoCellAnchor>
    <xdr:from>
      <xdr:col>1</xdr:col>
      <xdr:colOff>419100</xdr:colOff>
      <xdr:row>10</xdr:row>
      <xdr:rowOff>0</xdr:rowOff>
    </xdr:from>
    <xdr:to>
      <xdr:col>3</xdr:col>
      <xdr:colOff>9525</xdr:colOff>
      <xdr:row>13</xdr:row>
      <xdr:rowOff>76200</xdr:rowOff>
    </xdr:to>
    <xdr:sp macro="[0]!AjouterVente" textlink="">
      <xdr:nvSpPr>
        <xdr:cNvPr id="3" name="Rectangle à coins arrondis 2"/>
        <xdr:cNvSpPr/>
      </xdr:nvSpPr>
      <xdr:spPr>
        <a:xfrm>
          <a:off x="1181100" y="2009775"/>
          <a:ext cx="1647825"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une</a:t>
          </a:r>
          <a:r>
            <a:rPr lang="fr-FR" sz="1100" baseline="0"/>
            <a:t> vente</a:t>
          </a:r>
          <a:endParaRPr lang="fr-FR" sz="1100"/>
        </a:p>
      </xdr:txBody>
    </xdr:sp>
    <xdr:clientData/>
  </xdr:twoCellAnchor>
  <xdr:twoCellAnchor>
    <xdr:from>
      <xdr:col>5</xdr:col>
      <xdr:colOff>514350</xdr:colOff>
      <xdr:row>10</xdr:row>
      <xdr:rowOff>0</xdr:rowOff>
    </xdr:from>
    <xdr:to>
      <xdr:col>5</xdr:col>
      <xdr:colOff>2143125</xdr:colOff>
      <xdr:row>13</xdr:row>
      <xdr:rowOff>85725</xdr:rowOff>
    </xdr:to>
    <xdr:sp macro="" textlink="">
      <xdr:nvSpPr>
        <xdr:cNvPr id="11" name="Rectangle à coins arrondis 10">
          <a:hlinkClick xmlns:r="http://schemas.openxmlformats.org/officeDocument/2006/relationships" r:id="rId3"/>
        </xdr:cNvPr>
        <xdr:cNvSpPr/>
      </xdr:nvSpPr>
      <xdr:spPr>
        <a:xfrm>
          <a:off x="4886325" y="2009775"/>
          <a:ext cx="1628775" cy="657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638174</xdr:colOff>
      <xdr:row>1</xdr:row>
      <xdr:rowOff>133350</xdr:rowOff>
    </xdr:from>
    <xdr:to>
      <xdr:col>9</xdr:col>
      <xdr:colOff>638174</xdr:colOff>
      <xdr:row>4</xdr:row>
      <xdr:rowOff>76200</xdr:rowOff>
    </xdr:to>
    <xdr:sp macro="" textlink="">
      <xdr:nvSpPr>
        <xdr:cNvPr id="2" name="Rectangle à coins arrondis 1">
          <a:hlinkClick xmlns:r="http://schemas.openxmlformats.org/officeDocument/2006/relationships" r:id="rId1"/>
        </xdr:cNvPr>
        <xdr:cNvSpPr/>
      </xdr:nvSpPr>
      <xdr:spPr>
        <a:xfrm>
          <a:off x="9658349" y="323850"/>
          <a:ext cx="1028700" cy="5143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638175</xdr:colOff>
      <xdr:row>5</xdr:row>
      <xdr:rowOff>47626</xdr:rowOff>
    </xdr:from>
    <xdr:to>
      <xdr:col>9</xdr:col>
      <xdr:colOff>666750</xdr:colOff>
      <xdr:row>7</xdr:row>
      <xdr:rowOff>190501</xdr:rowOff>
    </xdr:to>
    <xdr:sp macro="[0]!Enregistrer" textlink="">
      <xdr:nvSpPr>
        <xdr:cNvPr id="3" name="Rectangle à coins arrondis 2"/>
        <xdr:cNvSpPr/>
      </xdr:nvSpPr>
      <xdr:spPr>
        <a:xfrm>
          <a:off x="9658350" y="1000126"/>
          <a:ext cx="10572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638174</xdr:colOff>
      <xdr:row>8</xdr:row>
      <xdr:rowOff>66675</xdr:rowOff>
    </xdr:from>
    <xdr:to>
      <xdr:col>9</xdr:col>
      <xdr:colOff>685800</xdr:colOff>
      <xdr:row>10</xdr:row>
      <xdr:rowOff>171450</xdr:rowOff>
    </xdr:to>
    <xdr:sp macro="[0]!Enregistrer_et_quitter" textlink="">
      <xdr:nvSpPr>
        <xdr:cNvPr id="4" name="Rectangle à coins arrondis 3"/>
        <xdr:cNvSpPr/>
      </xdr:nvSpPr>
      <xdr:spPr>
        <a:xfrm>
          <a:off x="9658349" y="1695450"/>
          <a:ext cx="1076326" cy="4857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4</xdr:col>
      <xdr:colOff>392728</xdr:colOff>
      <xdr:row>6</xdr:row>
      <xdr:rowOff>9991</xdr:rowOff>
    </xdr:to>
    <xdr:pic>
      <xdr:nvPicPr>
        <xdr:cNvPr id="5" name="Imag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3</xdr:col>
      <xdr:colOff>742950</xdr:colOff>
      <xdr:row>9</xdr:row>
      <xdr:rowOff>114300</xdr:rowOff>
    </xdr:from>
    <xdr:to>
      <xdr:col>3</xdr:col>
      <xdr:colOff>2114549</xdr:colOff>
      <xdr:row>13</xdr:row>
      <xdr:rowOff>28575</xdr:rowOff>
    </xdr:to>
    <xdr:sp macro="" textlink="">
      <xdr:nvSpPr>
        <xdr:cNvPr id="6" name="Rectangle à coins arrondis 5">
          <a:hlinkClick xmlns:r="http://schemas.openxmlformats.org/officeDocument/2006/relationships" r:id="rId3"/>
        </xdr:cNvPr>
        <xdr:cNvSpPr/>
      </xdr:nvSpPr>
      <xdr:spPr>
        <a:xfrm>
          <a:off x="3267075" y="1933575"/>
          <a:ext cx="1371599"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792778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790575</xdr:colOff>
      <xdr:row>2</xdr:row>
      <xdr:rowOff>9525</xdr:rowOff>
    </xdr:from>
    <xdr:to>
      <xdr:col>9</xdr:col>
      <xdr:colOff>942975</xdr:colOff>
      <xdr:row>4</xdr:row>
      <xdr:rowOff>152400</xdr:rowOff>
    </xdr:to>
    <xdr:sp macro="" textlink="">
      <xdr:nvSpPr>
        <xdr:cNvPr id="3" name="Rectangle à coins arrondis 2">
          <a:hlinkClick xmlns:r="http://schemas.openxmlformats.org/officeDocument/2006/relationships" r:id="rId2"/>
        </xdr:cNvPr>
        <xdr:cNvSpPr/>
      </xdr:nvSpPr>
      <xdr:spPr>
        <a:xfrm>
          <a:off x="9553575" y="390525"/>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790575</xdr:colOff>
      <xdr:row>5</xdr:row>
      <xdr:rowOff>114301</xdr:rowOff>
    </xdr:from>
    <xdr:to>
      <xdr:col>9</xdr:col>
      <xdr:colOff>942975</xdr:colOff>
      <xdr:row>7</xdr:row>
      <xdr:rowOff>257176</xdr:rowOff>
    </xdr:to>
    <xdr:sp macro="[0]!Enregistrer" textlink="">
      <xdr:nvSpPr>
        <xdr:cNvPr id="4" name="Rectangle à coins arrondis 3"/>
        <xdr:cNvSpPr/>
      </xdr:nvSpPr>
      <xdr:spPr>
        <a:xfrm>
          <a:off x="9553575" y="1066801"/>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790575</xdr:colOff>
      <xdr:row>8</xdr:row>
      <xdr:rowOff>133350</xdr:rowOff>
    </xdr:from>
    <xdr:to>
      <xdr:col>9</xdr:col>
      <xdr:colOff>942975</xdr:colOff>
      <xdr:row>11</xdr:row>
      <xdr:rowOff>133350</xdr:rowOff>
    </xdr:to>
    <xdr:sp macro="[0]!Enregistrer_et_quitter" textlink="">
      <xdr:nvSpPr>
        <xdr:cNvPr id="5" name="Rectangle à coins arrondis 4"/>
        <xdr:cNvSpPr/>
      </xdr:nvSpPr>
      <xdr:spPr>
        <a:xfrm>
          <a:off x="9667875" y="1762125"/>
          <a:ext cx="1076325" cy="57150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xdr:from>
      <xdr:col>1</xdr:col>
      <xdr:colOff>19050</xdr:colOff>
      <xdr:row>27</xdr:row>
      <xdr:rowOff>38101</xdr:rowOff>
    </xdr:from>
    <xdr:to>
      <xdr:col>5</xdr:col>
      <xdr:colOff>35719</xdr:colOff>
      <xdr:row>45</xdr:row>
      <xdr:rowOff>166687</xdr:rowOff>
    </xdr:to>
    <xdr:graphicFrame macro="">
      <xdr:nvGraphicFramePr>
        <xdr:cNvPr id="6" name="VueEnsembleBudget" descr="Graphique en barres affichant les revenus et les dépenses en fonction du coût estimé par rapport au coût réel" title="Vue d’ensemble du budge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590550</xdr:colOff>
      <xdr:row>7</xdr:row>
      <xdr:rowOff>228600</xdr:rowOff>
    </xdr:from>
    <xdr:to>
      <xdr:col>1</xdr:col>
      <xdr:colOff>2028825</xdr:colOff>
      <xdr:row>10</xdr:row>
      <xdr:rowOff>57150</xdr:rowOff>
    </xdr:to>
    <xdr:sp macro="[0]!AjouterUnPoste" textlink="">
      <xdr:nvSpPr>
        <xdr:cNvPr id="7" name="Rectangle à coins arrondis 6"/>
        <xdr:cNvSpPr/>
      </xdr:nvSpPr>
      <xdr:spPr>
        <a:xfrm>
          <a:off x="914400" y="1562100"/>
          <a:ext cx="1438275" cy="5048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un poste</a:t>
          </a:r>
        </a:p>
      </xdr:txBody>
    </xdr:sp>
    <xdr:clientData/>
  </xdr:twoCellAnchor>
  <xdr:twoCellAnchor>
    <xdr:from>
      <xdr:col>2</xdr:col>
      <xdr:colOff>457200</xdr:colOff>
      <xdr:row>7</xdr:row>
      <xdr:rowOff>238125</xdr:rowOff>
    </xdr:from>
    <xdr:to>
      <xdr:col>3</xdr:col>
      <xdr:colOff>866775</xdr:colOff>
      <xdr:row>10</xdr:row>
      <xdr:rowOff>66675</xdr:rowOff>
    </xdr:to>
    <xdr:sp macro="[0]!ModifierUnPoste" textlink="">
      <xdr:nvSpPr>
        <xdr:cNvPr id="9" name="Rectangle à coins arrondis 8"/>
        <xdr:cNvSpPr/>
      </xdr:nvSpPr>
      <xdr:spPr>
        <a:xfrm>
          <a:off x="3057525" y="1571625"/>
          <a:ext cx="1438275" cy="5048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 poste</a:t>
          </a:r>
        </a:p>
      </xdr:txBody>
    </xdr:sp>
    <xdr:clientData/>
  </xdr:twoCellAnchor>
  <xdr:twoCellAnchor>
    <xdr:from>
      <xdr:col>5</xdr:col>
      <xdr:colOff>142875</xdr:colOff>
      <xdr:row>7</xdr:row>
      <xdr:rowOff>142875</xdr:rowOff>
    </xdr:from>
    <xdr:to>
      <xdr:col>7</xdr:col>
      <xdr:colOff>542925</xdr:colOff>
      <xdr:row>11</xdr:row>
      <xdr:rowOff>19050</xdr:rowOff>
    </xdr:to>
    <xdr:sp macro="[0]!EnregistrerBudgetMois" textlink="">
      <xdr:nvSpPr>
        <xdr:cNvPr id="8" name="Flèche droite 7"/>
        <xdr:cNvSpPr/>
      </xdr:nvSpPr>
      <xdr:spPr>
        <a:xfrm>
          <a:off x="5829300" y="1581150"/>
          <a:ext cx="2743200" cy="638175"/>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fr-FR" sz="1400" b="1"/>
            <a:t>Enregistrer</a:t>
          </a:r>
          <a:r>
            <a:rPr lang="fr-FR" sz="1400" b="1" baseline="0"/>
            <a:t> le budget du mois</a:t>
          </a:r>
          <a:endParaRPr lang="fr-FR" sz="1400" b="1"/>
        </a:p>
      </xdr:txBody>
    </xdr:sp>
    <xdr:clientData/>
  </xdr:twoCellAnchor>
  <xdr:twoCellAnchor editAs="oneCell">
    <xdr:from>
      <xdr:col>5</xdr:col>
      <xdr:colOff>238124</xdr:colOff>
      <xdr:row>14</xdr:row>
      <xdr:rowOff>123826</xdr:rowOff>
    </xdr:from>
    <xdr:to>
      <xdr:col>9</xdr:col>
      <xdr:colOff>1981200</xdr:colOff>
      <xdr:row>19</xdr:row>
      <xdr:rowOff>123825</xdr:rowOff>
    </xdr:to>
    <mc:AlternateContent xmlns:mc="http://schemas.openxmlformats.org/markup-compatibility/2006" xmlns:a14="http://schemas.microsoft.com/office/drawing/2010/main">
      <mc:Choice Requires="a14">
        <xdr:graphicFrame macro="">
          <xdr:nvGraphicFramePr>
            <xdr:cNvPr id="10" name="Mois 1"/>
            <xdr:cNvGraphicFramePr/>
          </xdr:nvGraphicFramePr>
          <xdr:xfrm>
            <a:off x="0" y="0"/>
            <a:ext cx="0" cy="0"/>
          </xdr:xfrm>
          <a:graphic>
            <a:graphicData uri="http://schemas.microsoft.com/office/drawing/2010/slicer">
              <sle:slicer xmlns:sle="http://schemas.microsoft.com/office/drawing/2010/slicer" name="Mois 1"/>
            </a:graphicData>
          </a:graphic>
        </xdr:graphicFrame>
      </mc:Choice>
      <mc:Fallback xmlns="">
        <xdr:sp macro="" textlink="">
          <xdr:nvSpPr>
            <xdr:cNvPr id="0" name=""/>
            <xdr:cNvSpPr>
              <a:spLocks noTextEdit="1"/>
            </xdr:cNvSpPr>
          </xdr:nvSpPr>
          <xdr:spPr>
            <a:xfrm>
              <a:off x="5924549" y="2895601"/>
              <a:ext cx="5762626" cy="952499"/>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editAs="oneCell">
    <xdr:from>
      <xdr:col>0</xdr:col>
      <xdr:colOff>314324</xdr:colOff>
      <xdr:row>14</xdr:row>
      <xdr:rowOff>123826</xdr:rowOff>
    </xdr:from>
    <xdr:to>
      <xdr:col>5</xdr:col>
      <xdr:colOff>257175</xdr:colOff>
      <xdr:row>19</xdr:row>
      <xdr:rowOff>123825</xdr:rowOff>
    </xdr:to>
    <mc:AlternateContent xmlns:mc="http://schemas.openxmlformats.org/markup-compatibility/2006" xmlns:a14="http://schemas.microsoft.com/office/drawing/2010/main">
      <mc:Choice Requires="a14">
        <xdr:graphicFrame macro="">
          <xdr:nvGraphicFramePr>
            <xdr:cNvPr id="11" name="Année 1"/>
            <xdr:cNvGraphicFramePr/>
          </xdr:nvGraphicFramePr>
          <xdr:xfrm>
            <a:off x="0" y="0"/>
            <a:ext cx="0" cy="0"/>
          </xdr:xfrm>
          <a:graphic>
            <a:graphicData uri="http://schemas.microsoft.com/office/drawing/2010/slicer">
              <sle:slicer xmlns:sle="http://schemas.microsoft.com/office/drawing/2010/slicer" name="Année 1"/>
            </a:graphicData>
          </a:graphic>
        </xdr:graphicFrame>
      </mc:Choice>
      <mc:Fallback xmlns="">
        <xdr:sp macro="" textlink="">
          <xdr:nvSpPr>
            <xdr:cNvPr id="0" name=""/>
            <xdr:cNvSpPr>
              <a:spLocks noTextEdit="1"/>
            </xdr:cNvSpPr>
          </xdr:nvSpPr>
          <xdr:spPr>
            <a:xfrm>
              <a:off x="314324" y="2895601"/>
              <a:ext cx="5629276" cy="952499"/>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xdr:from>
      <xdr:col>5</xdr:col>
      <xdr:colOff>95250</xdr:colOff>
      <xdr:row>10</xdr:row>
      <xdr:rowOff>114300</xdr:rowOff>
    </xdr:from>
    <xdr:to>
      <xdr:col>7</xdr:col>
      <xdr:colOff>466725</xdr:colOff>
      <xdr:row>13</xdr:row>
      <xdr:rowOff>85725</xdr:rowOff>
    </xdr:to>
    <xdr:sp macro="[0]!ReinitialiserBudget" textlink="">
      <xdr:nvSpPr>
        <xdr:cNvPr id="12" name="Flèche gauche 11"/>
        <xdr:cNvSpPr/>
      </xdr:nvSpPr>
      <xdr:spPr>
        <a:xfrm>
          <a:off x="5781675" y="2124075"/>
          <a:ext cx="2714625" cy="542925"/>
        </a:xfrm>
        <a:prstGeom prst="lef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fr-FR" sz="1400" b="1"/>
            <a:t>Réinitialiser</a:t>
          </a:r>
          <a:r>
            <a:rPr lang="fr-FR" sz="1400" b="1" baseline="0"/>
            <a:t> les postes</a:t>
          </a:r>
          <a:endParaRPr lang="fr-FR" sz="1400" b="1"/>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402253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7</xdr:col>
      <xdr:colOff>495300</xdr:colOff>
      <xdr:row>2</xdr:row>
      <xdr:rowOff>57150</xdr:rowOff>
    </xdr:from>
    <xdr:to>
      <xdr:col>8</xdr:col>
      <xdr:colOff>619125</xdr:colOff>
      <xdr:row>5</xdr:row>
      <xdr:rowOff>9525</xdr:rowOff>
    </xdr:to>
    <xdr:sp macro="" textlink="">
      <xdr:nvSpPr>
        <xdr:cNvPr id="3" name="Rectangle à coins arrondis 2">
          <a:hlinkClick xmlns:r="http://schemas.openxmlformats.org/officeDocument/2006/relationships" r:id="rId2"/>
        </xdr:cNvPr>
        <xdr:cNvSpPr/>
      </xdr:nvSpPr>
      <xdr:spPr>
        <a:xfrm>
          <a:off x="9753600" y="4381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495300</xdr:colOff>
      <xdr:row>5</xdr:row>
      <xdr:rowOff>161926</xdr:rowOff>
    </xdr:from>
    <xdr:to>
      <xdr:col>8</xdr:col>
      <xdr:colOff>619125</xdr:colOff>
      <xdr:row>8</xdr:row>
      <xdr:rowOff>114301</xdr:rowOff>
    </xdr:to>
    <xdr:sp macro="[0]!Enregistrer" textlink="">
      <xdr:nvSpPr>
        <xdr:cNvPr id="4" name="Rectangle à coins arrondis 3"/>
        <xdr:cNvSpPr/>
      </xdr:nvSpPr>
      <xdr:spPr>
        <a:xfrm>
          <a:off x="9753600" y="111442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504825</xdr:colOff>
      <xdr:row>8</xdr:row>
      <xdr:rowOff>238125</xdr:rowOff>
    </xdr:from>
    <xdr:to>
      <xdr:col>8</xdr:col>
      <xdr:colOff>628650</xdr:colOff>
      <xdr:row>11</xdr:row>
      <xdr:rowOff>114300</xdr:rowOff>
    </xdr:to>
    <xdr:sp macro="[0]!Enregistrer_et_quitter" textlink="">
      <xdr:nvSpPr>
        <xdr:cNvPr id="5" name="Rectangle à coins arrondis 4"/>
        <xdr:cNvSpPr/>
      </xdr:nvSpPr>
      <xdr:spPr>
        <a:xfrm>
          <a:off x="9763125" y="1762125"/>
          <a:ext cx="1133475" cy="5524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mc:AlternateContent xmlns:mc="http://schemas.openxmlformats.org/markup-compatibility/2006">
    <mc:Choice xmlns:a14="http://schemas.microsoft.com/office/drawing/2010/main" Requires="a14">
      <xdr:twoCellAnchor editAs="oneCell">
        <xdr:from>
          <xdr:col>1</xdr:col>
          <xdr:colOff>47625</xdr:colOff>
          <xdr:row>13</xdr:row>
          <xdr:rowOff>85725</xdr:rowOff>
        </xdr:from>
        <xdr:to>
          <xdr:col>5</xdr:col>
          <xdr:colOff>114300</xdr:colOff>
          <xdr:row>15</xdr:row>
          <xdr:rowOff>76200</xdr:rowOff>
        </xdr:to>
        <xdr:sp macro="" textlink="">
          <xdr:nvSpPr>
            <xdr:cNvPr id="11265" name="Scroll Bar 1" hidden="1">
              <a:extLst>
                <a:ext uri="{63B3BB69-23CF-44E3-9099-C40C66FF867C}">
                  <a14:compatExt spid="_x0000_s11265"/>
                </a:ext>
              </a:extLst>
            </xdr:cNvPr>
            <xdr:cNvSpPr/>
          </xdr:nvSpPr>
          <xdr:spPr>
            <a:xfrm>
              <a:off x="0" y="0"/>
              <a:ext cx="0" cy="0"/>
            </a:xfrm>
            <a:prstGeom prst="rect">
              <a:avLst/>
            </a:prstGeom>
          </xdr:spPr>
        </xdr:sp>
        <xdr:clientData/>
      </xdr:twoCellAnchor>
    </mc:Choice>
    <mc:Fallback/>
  </mc:AlternateContent>
  <xdr:twoCellAnchor editAs="oneCell">
    <xdr:from>
      <xdr:col>1</xdr:col>
      <xdr:colOff>123827</xdr:colOff>
      <xdr:row>8</xdr:row>
      <xdr:rowOff>47624</xdr:rowOff>
    </xdr:from>
    <xdr:to>
      <xdr:col>1</xdr:col>
      <xdr:colOff>804811</xdr:colOff>
      <xdr:row>12</xdr:row>
      <xdr:rowOff>142874</xdr:rowOff>
    </xdr:to>
    <xdr:pic>
      <xdr:nvPicPr>
        <xdr:cNvPr id="6" name="Image 5"/>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33477" y="1190624"/>
          <a:ext cx="680984" cy="962025"/>
        </a:xfrm>
        <a:prstGeom prst="rect">
          <a:avLst/>
        </a:prstGeom>
      </xdr:spPr>
    </xdr:pic>
    <xdr:clientData/>
  </xdr:twoCellAnchor>
  <xdr:twoCellAnchor editAs="oneCell">
    <xdr:from>
      <xdr:col>4</xdr:col>
      <xdr:colOff>466725</xdr:colOff>
      <xdr:row>9</xdr:row>
      <xdr:rowOff>9525</xdr:rowOff>
    </xdr:from>
    <xdr:to>
      <xdr:col>5</xdr:col>
      <xdr:colOff>161924</xdr:colOff>
      <xdr:row>12</xdr:row>
      <xdr:rowOff>142874</xdr:rowOff>
    </xdr:to>
    <xdr:pic>
      <xdr:nvPicPr>
        <xdr:cNvPr id="7" name="Image 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505325" y="1447800"/>
          <a:ext cx="704849" cy="704849"/>
        </a:xfrm>
        <a:prstGeom prst="rect">
          <a:avLst/>
        </a:prstGeom>
      </xdr:spPr>
    </xdr:pic>
    <xdr:clientData/>
  </xdr:twoCellAnchor>
  <xdr:twoCellAnchor>
    <xdr:from>
      <xdr:col>0</xdr:col>
      <xdr:colOff>638175</xdr:colOff>
      <xdr:row>13</xdr:row>
      <xdr:rowOff>66675</xdr:rowOff>
    </xdr:from>
    <xdr:to>
      <xdr:col>0</xdr:col>
      <xdr:colOff>904875</xdr:colOff>
      <xdr:row>15</xdr:row>
      <xdr:rowOff>104775</xdr:rowOff>
    </xdr:to>
    <xdr:sp macro="" textlink="">
      <xdr:nvSpPr>
        <xdr:cNvPr id="8" name="ZoneTexte 7"/>
        <xdr:cNvSpPr txBox="1"/>
      </xdr:nvSpPr>
      <xdr:spPr>
        <a:xfrm>
          <a:off x="638175" y="2647950"/>
          <a:ext cx="266700" cy="419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fr-FR" sz="1100"/>
            <a:t>1</a:t>
          </a:r>
        </a:p>
      </xdr:txBody>
    </xdr:sp>
    <xdr:clientData/>
  </xdr:twoCellAnchor>
  <xdr:twoCellAnchor>
    <xdr:from>
      <xdr:col>5</xdr:col>
      <xdr:colOff>180975</xdr:colOff>
      <xdr:row>13</xdr:row>
      <xdr:rowOff>85726</xdr:rowOff>
    </xdr:from>
    <xdr:to>
      <xdr:col>5</xdr:col>
      <xdr:colOff>447675</xdr:colOff>
      <xdr:row>15</xdr:row>
      <xdr:rowOff>104776</xdr:rowOff>
    </xdr:to>
    <xdr:sp macro="" textlink="">
      <xdr:nvSpPr>
        <xdr:cNvPr id="10" name="ZoneTexte 9"/>
        <xdr:cNvSpPr txBox="1"/>
      </xdr:nvSpPr>
      <xdr:spPr>
        <a:xfrm>
          <a:off x="5229225" y="2667001"/>
          <a:ext cx="266700" cy="4000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fr-FR" sz="1100"/>
            <a:t>5</a:t>
          </a:r>
        </a:p>
      </xdr:txBody>
    </xdr:sp>
    <xdr:clientData/>
  </xdr:twoCellAnchor>
  <xdr:twoCellAnchor>
    <xdr:from>
      <xdr:col>5</xdr:col>
      <xdr:colOff>1390650</xdr:colOff>
      <xdr:row>2</xdr:row>
      <xdr:rowOff>47624</xdr:rowOff>
    </xdr:from>
    <xdr:to>
      <xdr:col>6</xdr:col>
      <xdr:colOff>533400</xdr:colOff>
      <xdr:row>5</xdr:row>
      <xdr:rowOff>171449</xdr:rowOff>
    </xdr:to>
    <xdr:sp macro="[0]!ValiderJournée" textlink="">
      <xdr:nvSpPr>
        <xdr:cNvPr id="9" name="Rectangle à coins arrondis 8"/>
        <xdr:cNvSpPr/>
      </xdr:nvSpPr>
      <xdr:spPr>
        <a:xfrm>
          <a:off x="6438900" y="428624"/>
          <a:ext cx="2219325" cy="695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Valider</a:t>
          </a:r>
          <a:r>
            <a:rPr lang="fr-FR" sz="1100" baseline="0"/>
            <a:t> la journée</a:t>
          </a:r>
          <a:endParaRPr lang="fr-FR" sz="1100"/>
        </a:p>
      </xdr:txBody>
    </xdr:sp>
    <xdr:clientData/>
  </xdr:twoCellAnchor>
  <xdr:twoCellAnchor>
    <xdr:from>
      <xdr:col>7</xdr:col>
      <xdr:colOff>514350</xdr:colOff>
      <xdr:row>12</xdr:row>
      <xdr:rowOff>47624</xdr:rowOff>
    </xdr:from>
    <xdr:to>
      <xdr:col>8</xdr:col>
      <xdr:colOff>638175</xdr:colOff>
      <xdr:row>15</xdr:row>
      <xdr:rowOff>57149</xdr:rowOff>
    </xdr:to>
    <xdr:sp macro="" textlink="">
      <xdr:nvSpPr>
        <xdr:cNvPr id="11" name="Rectangle à coins arrondis 10">
          <a:hlinkClick xmlns:r="http://schemas.openxmlformats.org/officeDocument/2006/relationships" r:id="rId5"/>
        </xdr:cNvPr>
        <xdr:cNvSpPr/>
      </xdr:nvSpPr>
      <xdr:spPr>
        <a:xfrm>
          <a:off x="9772650" y="2438399"/>
          <a:ext cx="1133475" cy="581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Historique</a:t>
          </a:r>
          <a:r>
            <a:rPr lang="fr-FR" sz="1100" baseline="0"/>
            <a:t> journée</a:t>
          </a:r>
          <a:endParaRPr lang="fr-FR"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830878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1447800</xdr:colOff>
      <xdr:row>0</xdr:row>
      <xdr:rowOff>171450</xdr:rowOff>
    </xdr:from>
    <xdr:to>
      <xdr:col>10</xdr:col>
      <xdr:colOff>200025</xdr:colOff>
      <xdr:row>3</xdr:row>
      <xdr:rowOff>123825</xdr:rowOff>
    </xdr:to>
    <xdr:sp macro="" textlink="">
      <xdr:nvSpPr>
        <xdr:cNvPr id="3" name="Rectangle à coins arrondis 2">
          <a:hlinkClick xmlns:r="http://schemas.openxmlformats.org/officeDocument/2006/relationships" r:id="rId2"/>
        </xdr:cNvPr>
        <xdr:cNvSpPr/>
      </xdr:nvSpPr>
      <xdr:spPr>
        <a:xfrm>
          <a:off x="10477500" y="1714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1447800</xdr:colOff>
      <xdr:row>4</xdr:row>
      <xdr:rowOff>85726</xdr:rowOff>
    </xdr:from>
    <xdr:to>
      <xdr:col>10</xdr:col>
      <xdr:colOff>200025</xdr:colOff>
      <xdr:row>7</xdr:row>
      <xdr:rowOff>38101</xdr:rowOff>
    </xdr:to>
    <xdr:sp macro="[0]!Enregistrer" textlink="">
      <xdr:nvSpPr>
        <xdr:cNvPr id="4" name="Rectangle à coins arrondis 3"/>
        <xdr:cNvSpPr/>
      </xdr:nvSpPr>
      <xdr:spPr>
        <a:xfrm>
          <a:off x="10477500" y="84772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1457325</xdr:colOff>
      <xdr:row>8</xdr:row>
      <xdr:rowOff>76200</xdr:rowOff>
    </xdr:from>
    <xdr:to>
      <xdr:col>10</xdr:col>
      <xdr:colOff>228600</xdr:colOff>
      <xdr:row>10</xdr:row>
      <xdr:rowOff>142875</xdr:rowOff>
    </xdr:to>
    <xdr:sp macro="[0]!Enregistrer_et_quitter" textlink="">
      <xdr:nvSpPr>
        <xdr:cNvPr id="5" name="Rectangle à coins arrondis 4"/>
        <xdr:cNvSpPr/>
      </xdr:nvSpPr>
      <xdr:spPr>
        <a:xfrm>
          <a:off x="10487025" y="1600200"/>
          <a:ext cx="1152525" cy="5524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783253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9</xdr:col>
      <xdr:colOff>9525</xdr:colOff>
      <xdr:row>1</xdr:row>
      <xdr:rowOff>95250</xdr:rowOff>
    </xdr:from>
    <xdr:to>
      <xdr:col>10</xdr:col>
      <xdr:colOff>381000</xdr:colOff>
      <xdr:row>4</xdr:row>
      <xdr:rowOff>47625</xdr:rowOff>
    </xdr:to>
    <xdr:sp macro="" textlink="">
      <xdr:nvSpPr>
        <xdr:cNvPr id="3" name="Rectangle à coins arrondis 2">
          <a:hlinkClick xmlns:r="http://schemas.openxmlformats.org/officeDocument/2006/relationships" r:id="rId2"/>
        </xdr:cNvPr>
        <xdr:cNvSpPr/>
      </xdr:nvSpPr>
      <xdr:spPr>
        <a:xfrm>
          <a:off x="9467850" y="285750"/>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9525</xdr:colOff>
      <xdr:row>5</xdr:row>
      <xdr:rowOff>9526</xdr:rowOff>
    </xdr:from>
    <xdr:to>
      <xdr:col>10</xdr:col>
      <xdr:colOff>381000</xdr:colOff>
      <xdr:row>7</xdr:row>
      <xdr:rowOff>152401</xdr:rowOff>
    </xdr:to>
    <xdr:sp macro="[0]!Enregistrer" textlink="">
      <xdr:nvSpPr>
        <xdr:cNvPr id="4" name="Rectangle à coins arrondis 3"/>
        <xdr:cNvSpPr/>
      </xdr:nvSpPr>
      <xdr:spPr>
        <a:xfrm>
          <a:off x="9467850" y="962026"/>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9525</xdr:colOff>
      <xdr:row>8</xdr:row>
      <xdr:rowOff>28575</xdr:rowOff>
    </xdr:from>
    <xdr:to>
      <xdr:col>10</xdr:col>
      <xdr:colOff>381000</xdr:colOff>
      <xdr:row>10</xdr:row>
      <xdr:rowOff>171450</xdr:rowOff>
    </xdr:to>
    <xdr:sp macro="[0]!Enregistrer_et_quitter" textlink="">
      <xdr:nvSpPr>
        <xdr:cNvPr id="5" name="Rectangle à coins arrondis 4"/>
        <xdr:cNvSpPr/>
      </xdr:nvSpPr>
      <xdr:spPr>
        <a:xfrm>
          <a:off x="9467850" y="1657350"/>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0</xdr:col>
      <xdr:colOff>266700</xdr:colOff>
      <xdr:row>10</xdr:row>
      <xdr:rowOff>95249</xdr:rowOff>
    </xdr:from>
    <xdr:to>
      <xdr:col>6</xdr:col>
      <xdr:colOff>994833</xdr:colOff>
      <xdr:row>30</xdr:row>
      <xdr:rowOff>148167</xdr:rowOff>
    </xdr:to>
    <xdr:grpSp>
      <xdr:nvGrpSpPr>
        <xdr:cNvPr id="15" name="Groupe 14"/>
        <xdr:cNvGrpSpPr/>
      </xdr:nvGrpSpPr>
      <xdr:grpSpPr>
        <a:xfrm>
          <a:off x="266700" y="2106082"/>
          <a:ext cx="6316133" cy="3862918"/>
          <a:chOff x="266700" y="2105024"/>
          <a:chExt cx="6057900" cy="3705226"/>
        </a:xfrm>
      </xdr:grpSpPr>
      <xdr:graphicFrame macro="">
        <xdr:nvGraphicFramePr>
          <xdr:cNvPr id="7" name="Graphique 6"/>
          <xdr:cNvGraphicFramePr/>
        </xdr:nvGraphicFramePr>
        <xdr:xfrm>
          <a:off x="266700" y="2105024"/>
          <a:ext cx="6057900" cy="3705226"/>
        </xdr:xfrm>
        <a:graphic>
          <a:graphicData uri="http://schemas.openxmlformats.org/drawingml/2006/chart">
            <c:chart xmlns:c="http://schemas.openxmlformats.org/drawingml/2006/chart" xmlns:r="http://schemas.openxmlformats.org/officeDocument/2006/relationships" r:id="rId3"/>
          </a:graphicData>
        </a:graphic>
      </xdr:graphicFrame>
      <xdr:pic>
        <xdr:nvPicPr>
          <xdr:cNvPr id="8" name="Image 7"/>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0600" y="5248276"/>
            <a:ext cx="352425" cy="497870"/>
          </a:xfrm>
          <a:prstGeom prst="rect">
            <a:avLst/>
          </a:prstGeom>
        </xdr:spPr>
      </xdr:pic>
      <xdr:pic>
        <xdr:nvPicPr>
          <xdr:cNvPr id="9" name="Image 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448300" y="5334000"/>
            <a:ext cx="409575" cy="409575"/>
          </a:xfrm>
          <a:prstGeom prst="rect">
            <a:avLst/>
          </a:prstGeom>
        </xdr:spPr>
      </xdr:pic>
    </xdr:grpSp>
    <xdr:clientData/>
  </xdr:twoCellAnchor>
  <xdr:twoCellAnchor editAs="oneCell">
    <xdr:from>
      <xdr:col>0</xdr:col>
      <xdr:colOff>247647</xdr:colOff>
      <xdr:row>31</xdr:row>
      <xdr:rowOff>9526</xdr:rowOff>
    </xdr:from>
    <xdr:to>
      <xdr:col>6</xdr:col>
      <xdr:colOff>1068916</xdr:colOff>
      <xdr:row>36</xdr:row>
      <xdr:rowOff>114300</xdr:rowOff>
    </xdr:to>
    <mc:AlternateContent xmlns:mc="http://schemas.openxmlformats.org/markup-compatibility/2006" xmlns:a14="http://schemas.microsoft.com/office/drawing/2010/main">
      <mc:Choice Requires="a14">
        <xdr:graphicFrame macro="">
          <xdr:nvGraphicFramePr>
            <xdr:cNvPr id="12" name="Code caisse"/>
            <xdr:cNvGraphicFramePr/>
          </xdr:nvGraphicFramePr>
          <xdr:xfrm>
            <a:off x="0" y="0"/>
            <a:ext cx="0" cy="0"/>
          </xdr:xfrm>
          <a:graphic>
            <a:graphicData uri="http://schemas.microsoft.com/office/drawing/2010/slicer">
              <sle:slicer xmlns:sle="http://schemas.microsoft.com/office/drawing/2010/slicer" name="Code caisse"/>
            </a:graphicData>
          </a:graphic>
        </xdr:graphicFrame>
      </mc:Choice>
      <mc:Fallback xmlns="">
        <xdr:sp macro="" textlink="">
          <xdr:nvSpPr>
            <xdr:cNvPr id="0" name=""/>
            <xdr:cNvSpPr>
              <a:spLocks noTextEdit="1"/>
            </xdr:cNvSpPr>
          </xdr:nvSpPr>
          <xdr:spPr>
            <a:xfrm>
              <a:off x="247648" y="6019801"/>
              <a:ext cx="6057902" cy="1057274"/>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editAs="oneCell">
    <xdr:from>
      <xdr:col>6</xdr:col>
      <xdr:colOff>1056216</xdr:colOff>
      <xdr:row>31</xdr:row>
      <xdr:rowOff>9527</xdr:rowOff>
    </xdr:from>
    <xdr:to>
      <xdr:col>13</xdr:col>
      <xdr:colOff>234949</xdr:colOff>
      <xdr:row>36</xdr:row>
      <xdr:rowOff>123827</xdr:rowOff>
    </xdr:to>
    <mc:AlternateContent xmlns:mc="http://schemas.openxmlformats.org/markup-compatibility/2006" xmlns:a14="http://schemas.microsoft.com/office/drawing/2010/main">
      <mc:Choice Requires="a14">
        <xdr:graphicFrame macro="">
          <xdr:nvGraphicFramePr>
            <xdr:cNvPr id="11" name="Mois"/>
            <xdr:cNvGraphicFramePr/>
          </xdr:nvGraphicFramePr>
          <xdr:xfrm>
            <a:off x="0" y="0"/>
            <a:ext cx="0" cy="0"/>
          </xdr:xfrm>
          <a:graphic>
            <a:graphicData uri="http://schemas.microsoft.com/office/drawing/2010/slicer">
              <sle:slicer xmlns:sle="http://schemas.microsoft.com/office/drawing/2010/slicer" name="Mois"/>
            </a:graphicData>
          </a:graphic>
        </xdr:graphicFrame>
      </mc:Choice>
      <mc:Fallback xmlns="">
        <xdr:sp macro="" textlink="">
          <xdr:nvSpPr>
            <xdr:cNvPr id="0" name=""/>
            <xdr:cNvSpPr>
              <a:spLocks noTextEdit="1"/>
            </xdr:cNvSpPr>
          </xdr:nvSpPr>
          <xdr:spPr>
            <a:xfrm>
              <a:off x="6644216" y="6020860"/>
              <a:ext cx="6756400" cy="10668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xdr:from>
      <xdr:col>0</xdr:col>
      <xdr:colOff>247650</xdr:colOff>
      <xdr:row>36</xdr:row>
      <xdr:rowOff>114299</xdr:rowOff>
    </xdr:from>
    <xdr:to>
      <xdr:col>6</xdr:col>
      <xdr:colOff>1090083</xdr:colOff>
      <xdr:row>59</xdr:row>
      <xdr:rowOff>95250</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1085850</xdr:colOff>
      <xdr:row>36</xdr:row>
      <xdr:rowOff>114300</xdr:rowOff>
    </xdr:from>
    <xdr:to>
      <xdr:col>13</xdr:col>
      <xdr:colOff>243416</xdr:colOff>
      <xdr:row>59</xdr:row>
      <xdr:rowOff>95250</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6</xdr:col>
      <xdr:colOff>1056216</xdr:colOff>
      <xdr:row>26</xdr:row>
      <xdr:rowOff>42334</xdr:rowOff>
    </xdr:from>
    <xdr:to>
      <xdr:col>13</xdr:col>
      <xdr:colOff>222250</xdr:colOff>
      <xdr:row>31</xdr:row>
      <xdr:rowOff>31751</xdr:rowOff>
    </xdr:to>
    <mc:AlternateContent xmlns:mc="http://schemas.openxmlformats.org/markup-compatibility/2006" xmlns:a14="http://schemas.microsoft.com/office/drawing/2010/main">
      <mc:Choice Requires="a14">
        <xdr:graphicFrame macro="">
          <xdr:nvGraphicFramePr>
            <xdr:cNvPr id="6" name="Année"/>
            <xdr:cNvGraphicFramePr/>
          </xdr:nvGraphicFramePr>
          <xdr:xfrm>
            <a:off x="0" y="0"/>
            <a:ext cx="0" cy="0"/>
          </xdr:xfrm>
          <a:graphic>
            <a:graphicData uri="http://schemas.microsoft.com/office/drawing/2010/slicer">
              <sle:slicer xmlns:sle="http://schemas.microsoft.com/office/drawing/2010/slicer" name="Année"/>
            </a:graphicData>
          </a:graphic>
        </xdr:graphicFrame>
      </mc:Choice>
      <mc:Fallback xmlns="">
        <xdr:sp macro="" textlink="">
          <xdr:nvSpPr>
            <xdr:cNvPr id="0" name=""/>
            <xdr:cNvSpPr>
              <a:spLocks noTextEdit="1"/>
            </xdr:cNvSpPr>
          </xdr:nvSpPr>
          <xdr:spPr>
            <a:xfrm>
              <a:off x="6644216" y="5101167"/>
              <a:ext cx="6743701" cy="94191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xdr:from>
      <xdr:col>0</xdr:col>
      <xdr:colOff>247649</xdr:colOff>
      <xdr:row>59</xdr:row>
      <xdr:rowOff>105834</xdr:rowOff>
    </xdr:from>
    <xdr:to>
      <xdr:col>13</xdr:col>
      <xdr:colOff>253999</xdr:colOff>
      <xdr:row>94</xdr:row>
      <xdr:rowOff>63500</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rine mansier" refreshedDate="41393.699544675925" createdVersion="4" refreshedVersion="4" minRefreshableVersion="3" recordCount="12">
  <cacheSource type="worksheet">
    <worksheetSource name="ventes"/>
  </cacheSource>
  <cacheFields count="14">
    <cacheField name="Date" numFmtId="14">
      <sharedItems containsDate="1" containsMixedTypes="1" minDate="2012-12-12T00:00:00" maxDate="2013-05-06T00:00:00"/>
    </cacheField>
    <cacheField name="Nature opération" numFmtId="0">
      <sharedItems containsBlank="1" count="7">
        <s v="Vente CE"/>
        <s v="Vente Boutique"/>
        <s v="Vente Domicile"/>
        <s v="Vente Foire"/>
        <s v="Vente Internet"/>
        <m u="1"/>
        <s v="Vente Camping" u="1"/>
      </sharedItems>
    </cacheField>
    <cacheField name="Code caisse" numFmtId="0">
      <sharedItems containsSemiMixedTypes="0" containsString="0" containsNumber="1" containsInteger="1" minValue="1" maxValue="4" count="4">
        <n v="3"/>
        <n v="1"/>
        <n v="2"/>
        <n v="4"/>
      </sharedItems>
    </cacheField>
    <cacheField name="Référence produit" numFmtId="0">
      <sharedItems/>
    </cacheField>
    <cacheField name="Désignation" numFmtId="0">
      <sharedItems containsBlank="1" count="12">
        <s v="Collier popcorn"/>
        <s v="Dragibus"/>
        <s v="Boucles fashion"/>
        <s v="Ensemble opales"/>
        <s v="Boucles d'or"/>
        <m u="1"/>
        <s v="jhdsgfds" u="1"/>
        <s v="fg" u="1"/>
        <s v="col" u="1"/>
        <s v="boucles" u="1"/>
        <s v="jhgefer" u="1"/>
        <s v="qskjhdfbjqhdsbfkbjqs" u="1"/>
      </sharedItems>
    </cacheField>
    <cacheField name="Marque" numFmtId="0">
      <sharedItems/>
    </cacheField>
    <cacheField name="Quantité" numFmtId="0">
      <sharedItems containsSemiMixedTypes="0" containsString="0" containsNumber="1" containsInteger="1" minValue="1" maxValue="23"/>
    </cacheField>
    <cacheField name="Prix de vente unitaire" numFmtId="166">
      <sharedItems containsSemiMixedTypes="0" containsString="0" containsNumber="1" minValue="0.11" maxValue="40"/>
    </cacheField>
    <cacheField name="Soldes" numFmtId="166">
      <sharedItems containsBlank="1"/>
    </cacheField>
    <cacheField name="Total" numFmtId="166">
      <sharedItems containsSemiMixedTypes="0" containsString="0" containsNumber="1" minValue="2.5299999999999998" maxValue="120"/>
    </cacheField>
    <cacheField name="Mode paiement" numFmtId="166">
      <sharedItems/>
    </cacheField>
    <cacheField name="Commentaires" numFmtId="0">
      <sharedItems containsBlank="1"/>
    </cacheField>
    <cacheField name="Mois" numFmtId="168">
      <sharedItems containsDate="1" containsMixedTypes="1" minDate="1899-12-30T00:00:00" maxDate="2013-05-06T00:00:00" count="23">
        <s v="janvier"/>
        <s v="mars"/>
        <s v="avril"/>
        <s v="mai"/>
        <s v="décembre"/>
        <d v="2013-04-05T00:00:00" u="1"/>
        <s v="mars 2013" u="1"/>
        <s v="décembre 2012" u="1"/>
        <d v="2013-05-03T00:00:00" u="1"/>
        <d v="2012-12-12T00:00:00" u="1"/>
        <d v="2013-05-01T00:00:00" u="1"/>
        <d v="2012-11-12T00:00:00" u="1"/>
        <d v="2011-12-03T00:00:00" u="1"/>
        <s v="janvier 2013" u="1"/>
        <d v="2013-04-04T00:00:00" u="1"/>
        <d v="1899-12-30T00:00:00" u="1"/>
        <s v="mai 2013" u="1"/>
        <d v="2013-05-02T00:00:00" u="1"/>
        <d v="2013-03-04T00:00:00" u="1"/>
        <d v="2012-12-30T00:00:00" u="1"/>
        <d v="2013-01-04T00:00:00" u="1"/>
        <s v="avril 2013" u="1"/>
        <d v="2013-05-05T00:00:00" u="1"/>
      </sharedItems>
    </cacheField>
    <cacheField name="Année" numFmtId="168">
      <sharedItems count="2">
        <s v="2013"/>
        <s v="2012"/>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marine mansier" refreshedDate="41393.69954548611" createdVersion="4" refreshedVersion="4" minRefreshableVersion="3" recordCount="7">
  <cacheSource type="worksheet">
    <worksheetSource name="historique"/>
  </cacheSource>
  <cacheFields count="7">
    <cacheField name="Date" numFmtId="14">
      <sharedItems containsSemiMixedTypes="0" containsNonDate="0" containsDate="1" containsString="0" minDate="2013-04-04T00:00:00" maxDate="2013-05-06T00:00:00"/>
    </cacheField>
    <cacheField name="Météo" numFmtId="0">
      <sharedItems containsSemiMixedTypes="0" containsString="0" containsNumber="1" containsInteger="1" minValue="1" maxValue="5" count="5">
        <n v="5"/>
        <n v="1"/>
        <n v="4"/>
        <n v="2" u="1"/>
        <n v="3" u="1"/>
      </sharedItems>
    </cacheField>
    <cacheField name="Fond de caisse fin de journée" numFmtId="166">
      <sharedItems containsSemiMixedTypes="0" containsString="0" containsNumber="1" minValue="200" maxValue="1251.05"/>
    </cacheField>
    <cacheField name="Nombre de chèques" numFmtId="0">
      <sharedItems containsSemiMixedTypes="0" containsString="0" containsNumber="1" containsInteger="1" minValue="2" maxValue="4"/>
    </cacheField>
    <cacheField name="Total chèques" numFmtId="166">
      <sharedItems containsSemiMixedTypes="0" containsString="0" containsNumber="1" containsInteger="1" minValue="32" maxValue="51"/>
    </cacheField>
    <cacheField name="CA journée" numFmtId="166">
      <sharedItems containsSemiMixedTypes="0" containsString="0" containsNumber="1" minValue="32" maxValue="1102.05"/>
    </cacheField>
    <cacheField name="CA cumulé" numFmtId="166">
      <sharedItems containsSemiMixedTypes="0" containsString="0" containsNumber="1" minValue="32" maxValue="2647.8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
  <r>
    <d v="2013-01-04T00:00:00"/>
    <x v="0"/>
    <x v="0"/>
    <s v="COL001"/>
    <x v="0"/>
    <s v="BALI1"/>
    <n v="1"/>
    <n v="11"/>
    <s v="OUI"/>
    <n v="11"/>
    <s v="Espèces"/>
    <m/>
    <x v="0"/>
    <x v="0"/>
  </r>
  <r>
    <d v="2013-03-04T00:00:00"/>
    <x v="1"/>
    <x v="1"/>
    <s v="BON001"/>
    <x v="1"/>
    <s v="W124J"/>
    <n v="23"/>
    <n v="0.12"/>
    <m/>
    <n v="2.76"/>
    <s v="Chèque"/>
    <s v="approximatif"/>
    <x v="1"/>
    <x v="0"/>
  </r>
  <r>
    <d v="2013-04-04T00:00:00"/>
    <x v="2"/>
    <x v="0"/>
    <s v="COL001"/>
    <x v="0"/>
    <s v="BALI1"/>
    <n v="1"/>
    <n v="10.5"/>
    <m/>
    <n v="10.5"/>
    <s v="Carte cadeau"/>
    <m/>
    <x v="2"/>
    <x v="0"/>
  </r>
  <r>
    <d v="2013-04-04T00:00:00"/>
    <x v="1"/>
    <x v="2"/>
    <s v="BOU002"/>
    <x v="2"/>
    <s v="WAHOU1"/>
    <n v="2"/>
    <n v="2.5"/>
    <m/>
    <n v="5"/>
    <s v="Espèces"/>
    <m/>
    <x v="2"/>
    <x v="0"/>
  </r>
  <r>
    <d v="2013-04-04T00:00:00"/>
    <x v="2"/>
    <x v="3"/>
    <s v="PAR001"/>
    <x v="3"/>
    <s v="ZGRH1224"/>
    <n v="2"/>
    <n v="30"/>
    <m/>
    <n v="60"/>
    <s v="Chèque"/>
    <m/>
    <x v="2"/>
    <x v="0"/>
  </r>
  <r>
    <d v="2013-05-01T00:00:00"/>
    <x v="1"/>
    <x v="1"/>
    <s v="BON001"/>
    <x v="1"/>
    <s v="W124J"/>
    <n v="23"/>
    <n v="0.11"/>
    <m/>
    <n v="2.5299999999999998"/>
    <s v="Espèces"/>
    <m/>
    <x v="3"/>
    <x v="0"/>
  </r>
  <r>
    <d v="2013-05-02T00:00:00"/>
    <x v="1"/>
    <x v="2"/>
    <s v="BOU002"/>
    <x v="2"/>
    <s v="WAHOU1"/>
    <n v="5"/>
    <n v="1"/>
    <s v="OUI"/>
    <n v="5"/>
    <s v="Espèces"/>
    <s v="prix vente groupée"/>
    <x v="3"/>
    <x v="0"/>
  </r>
  <r>
    <d v="2013-05-03T00:00:00"/>
    <x v="0"/>
    <x v="3"/>
    <s v="PAR001"/>
    <x v="3"/>
    <s v="ZGRH1224"/>
    <n v="3"/>
    <n v="40"/>
    <m/>
    <n v="120"/>
    <s v="Espèces"/>
    <m/>
    <x v="3"/>
    <x v="0"/>
  </r>
  <r>
    <d v="2013-04-05T00:00:00"/>
    <x v="3"/>
    <x v="0"/>
    <s v="COL001"/>
    <x v="0"/>
    <s v="BALI1"/>
    <n v="1"/>
    <n v="10"/>
    <m/>
    <n v="10"/>
    <s v="Carte cadeau"/>
    <m/>
    <x v="2"/>
    <x v="0"/>
  </r>
  <r>
    <d v="2013-05-05T00:00:00"/>
    <x v="4"/>
    <x v="0"/>
    <s v="COL001"/>
    <x v="0"/>
    <s v="BALI1"/>
    <n v="2"/>
    <n v="10.5"/>
    <m/>
    <n v="21"/>
    <s v="Chèque"/>
    <m/>
    <x v="3"/>
    <x v="0"/>
  </r>
  <r>
    <d v="2012-12-12T00:00:00"/>
    <x v="1"/>
    <x v="3"/>
    <s v="PAR001"/>
    <x v="3"/>
    <s v="ZGRH1224"/>
    <n v="1"/>
    <n v="40"/>
    <m/>
    <n v="40"/>
    <s v="Chèque"/>
    <m/>
    <x v="4"/>
    <x v="1"/>
  </r>
  <r>
    <s v="29/04/2013"/>
    <x v="2"/>
    <x v="2"/>
    <s v="BOU003"/>
    <x v="4"/>
    <s v="gnagnagna"/>
    <n v="1"/>
    <n v="9"/>
    <s v="OUI"/>
    <n v="9"/>
    <s v="Chèque"/>
    <m/>
    <x v="2"/>
    <x v="0"/>
  </r>
</pivotCacheRecords>
</file>

<file path=xl/pivotCache/pivotCacheRecords2.xml><?xml version="1.0" encoding="utf-8"?>
<pivotCacheRecords xmlns="http://schemas.openxmlformats.org/spreadsheetml/2006/main" xmlns:r="http://schemas.openxmlformats.org/officeDocument/2006/relationships" count="7">
  <r>
    <d v="2013-04-04T00:00:00"/>
    <x v="0"/>
    <n v="200"/>
    <n v="2"/>
    <n v="32"/>
    <n v="32"/>
    <n v="32"/>
  </r>
  <r>
    <d v="2013-04-26T00:00:00"/>
    <x v="0"/>
    <n v="246.2"/>
    <n v="2"/>
    <n v="32"/>
    <n v="78.199999999999989"/>
    <n v="110.19999999999999"/>
  </r>
  <r>
    <d v="2013-04-27T00:00:00"/>
    <x v="1"/>
    <n v="200.2"/>
    <n v="2"/>
    <n v="32"/>
    <n v="32.199999999999989"/>
    <n v="142.39999999999998"/>
  </r>
  <r>
    <d v="2013-04-28T00:00:00"/>
    <x v="2"/>
    <n v="318.7"/>
    <n v="2"/>
    <n v="32"/>
    <n v="150.69999999999999"/>
    <n v="293.09999999999997"/>
  </r>
  <r>
    <d v="2013-05-03T00:00:00"/>
    <x v="2"/>
    <n v="318.7"/>
    <n v="2"/>
    <n v="32"/>
    <n v="150.69999999999999"/>
    <n v="443.79999999999995"/>
  </r>
  <r>
    <d v="2013-05-05T00:00:00"/>
    <x v="1"/>
    <n v="1251.04"/>
    <n v="4"/>
    <n v="51"/>
    <n v="1102.04"/>
    <n v="1545.84"/>
  </r>
  <r>
    <d v="2013-04-29T00:00:00"/>
    <x v="2"/>
    <n v="1251.05"/>
    <n v="4"/>
    <n v="51"/>
    <n v="1102.05"/>
    <n v="2647.8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1" cacheId="0"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34:F43" firstHeaderRow="1" firstDataRow="2" firstDataCol="1"/>
  <pivotFields count="14">
    <pivotField numFmtId="14" showAll="0"/>
    <pivotField showAll="0"/>
    <pivotField axis="axisCol" showAll="0">
      <items count="5">
        <item x="1"/>
        <item x="2"/>
        <item x="0"/>
        <item x="3"/>
        <item t="default"/>
      </items>
    </pivotField>
    <pivotField showAll="0"/>
    <pivotField showAll="0"/>
    <pivotField showAll="0"/>
    <pivotField showAll="0"/>
    <pivotField numFmtId="166" showAll="0"/>
    <pivotField showAll="0"/>
    <pivotField dataField="1" numFmtId="166" showAll="0"/>
    <pivotField showAll="0"/>
    <pivotField showAll="0"/>
    <pivotField axis="axisRow" showAll="0">
      <items count="24">
        <item x="0"/>
        <item x="1"/>
        <item x="2"/>
        <item x="3"/>
        <item x="4"/>
        <item m="1" x="21"/>
        <item m="1" x="7"/>
        <item m="1" x="13"/>
        <item m="1" x="16"/>
        <item m="1" x="6"/>
        <item m="1" x="15"/>
        <item m="1" x="12"/>
        <item m="1" x="11"/>
        <item m="1" x="9"/>
        <item m="1" x="19"/>
        <item m="1" x="20"/>
        <item m="1" x="18"/>
        <item m="1" x="14"/>
        <item m="1" x="5"/>
        <item m="1" x="10"/>
        <item m="1" x="17"/>
        <item m="1" x="8"/>
        <item m="1" x="22"/>
        <item t="default"/>
      </items>
    </pivotField>
    <pivotField axis="axisRow" showAll="0">
      <items count="3">
        <item x="1"/>
        <item x="0"/>
        <item t="default"/>
      </items>
    </pivotField>
  </pivotFields>
  <rowFields count="2">
    <field x="13"/>
    <field x="12"/>
  </rowFields>
  <rowItems count="8">
    <i>
      <x/>
    </i>
    <i r="1">
      <x v="4"/>
    </i>
    <i>
      <x v="1"/>
    </i>
    <i r="1">
      <x/>
    </i>
    <i r="1">
      <x v="1"/>
    </i>
    <i r="1">
      <x v="2"/>
    </i>
    <i r="1">
      <x v="3"/>
    </i>
    <i t="grand">
      <x/>
    </i>
  </rowItems>
  <colFields count="1">
    <field x="2"/>
  </colFields>
  <colItems count="5">
    <i>
      <x/>
    </i>
    <i>
      <x v="1"/>
    </i>
    <i>
      <x v="2"/>
    </i>
    <i>
      <x v="3"/>
    </i>
    <i t="grand">
      <x/>
    </i>
  </colItems>
  <dataFields count="1">
    <dataField name="Somme de Total" fld="9" baseField="0" baseItem="0"/>
  </dataFields>
  <chartFormats count="4">
    <chartFormat chart="2" format="6" series="1">
      <pivotArea type="data" outline="0" fieldPosition="0">
        <references count="2">
          <reference field="4294967294" count="1" selected="0">
            <x v="0"/>
          </reference>
          <reference field="2" count="1" selected="0">
            <x v="0"/>
          </reference>
        </references>
      </pivotArea>
    </chartFormat>
    <chartFormat chart="2" format="7" series="1">
      <pivotArea type="data" outline="0" fieldPosition="0">
        <references count="2">
          <reference field="4294967294" count="1" selected="0">
            <x v="0"/>
          </reference>
          <reference field="2" count="1" selected="0">
            <x v="1"/>
          </reference>
        </references>
      </pivotArea>
    </chartFormat>
    <chartFormat chart="2" format="8" series="1">
      <pivotArea type="data" outline="0" fieldPosition="0">
        <references count="2">
          <reference field="4294967294" count="1" selected="0">
            <x v="0"/>
          </reference>
          <reference field="2" count="1" selected="0">
            <x v="2"/>
          </reference>
        </references>
      </pivotArea>
    </chartFormat>
    <chartFormat chart="2" format="9"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eau croisé dynamique9" cacheId="0"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25:B31" firstHeaderRow="1" firstDataRow="1" firstDataCol="1" rowPageCount="2" colPageCount="1"/>
  <pivotFields count="14">
    <pivotField numFmtId="14" showAll="0"/>
    <pivotField axis="axisRow" showAll="0">
      <items count="8">
        <item x="1"/>
        <item m="1" x="6"/>
        <item x="0"/>
        <item x="2"/>
        <item x="3"/>
        <item x="4"/>
        <item m="1" x="5"/>
        <item t="default"/>
      </items>
    </pivotField>
    <pivotField axis="axisPage" showAll="0">
      <items count="5">
        <item x="1"/>
        <item x="2"/>
        <item x="0"/>
        <item x="3"/>
        <item t="default"/>
      </items>
    </pivotField>
    <pivotField showAll="0"/>
    <pivotField showAll="0"/>
    <pivotField showAll="0"/>
    <pivotField showAll="0"/>
    <pivotField numFmtId="166" showAll="0"/>
    <pivotField showAll="0"/>
    <pivotField dataField="1" numFmtId="166" showAll="0"/>
    <pivotField showAll="0"/>
    <pivotField showAll="0"/>
    <pivotField axis="axisPage" numFmtId="168" showAll="0">
      <items count="24">
        <item m="1" x="15"/>
        <item m="1" x="12"/>
        <item m="1" x="11"/>
        <item m="1" x="9"/>
        <item m="1" x="19"/>
        <item m="1" x="20"/>
        <item m="1" x="18"/>
        <item m="1" x="14"/>
        <item m="1" x="5"/>
        <item m="1" x="10"/>
        <item m="1" x="17"/>
        <item m="1" x="8"/>
        <item m="1" x="22"/>
        <item m="1" x="13"/>
        <item m="1" x="6"/>
        <item m="1" x="21"/>
        <item m="1" x="16"/>
        <item m="1" x="7"/>
        <item x="0"/>
        <item x="1"/>
        <item x="2"/>
        <item x="3"/>
        <item x="4"/>
        <item t="default"/>
      </items>
    </pivotField>
    <pivotField showAll="0" defaultSubtotal="0">
      <items count="2">
        <item x="1"/>
        <item x="0"/>
      </items>
    </pivotField>
  </pivotFields>
  <rowFields count="1">
    <field x="1"/>
  </rowFields>
  <rowItems count="6">
    <i>
      <x/>
    </i>
    <i>
      <x v="2"/>
    </i>
    <i>
      <x v="3"/>
    </i>
    <i>
      <x v="4"/>
    </i>
    <i>
      <x v="5"/>
    </i>
    <i t="grand">
      <x/>
    </i>
  </rowItems>
  <colItems count="1">
    <i/>
  </colItems>
  <pageFields count="2">
    <pageField fld="12" hier="-1"/>
    <pageField fld="2" hier="-1"/>
  </pageFields>
  <dataFields count="1">
    <dataField name="Somme de Total" fld="9" baseField="1" baseItem="0"/>
  </dataFields>
  <chartFormats count="3">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eau croisé dynamique7" cacheId="0"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13:B19" firstHeaderRow="1" firstDataRow="1" firstDataCol="1" rowPageCount="2" colPageCount="1"/>
  <pivotFields count="14">
    <pivotField showAll="0"/>
    <pivotField showAll="0"/>
    <pivotField axis="axisPage" multipleItemSelectionAllowed="1" showAll="0">
      <items count="5">
        <item x="1"/>
        <item x="2"/>
        <item x="0"/>
        <item x="3"/>
        <item t="default"/>
      </items>
    </pivotField>
    <pivotField showAll="0"/>
    <pivotField axis="axisRow" showAll="0">
      <items count="13">
        <item m="1" x="9"/>
        <item m="1" x="8"/>
        <item m="1" x="7"/>
        <item m="1" x="6"/>
        <item m="1" x="10"/>
        <item m="1" x="11"/>
        <item m="1" x="5"/>
        <item x="0"/>
        <item x="1"/>
        <item x="2"/>
        <item x="3"/>
        <item x="4"/>
        <item t="default"/>
      </items>
    </pivotField>
    <pivotField showAll="0"/>
    <pivotField showAll="0"/>
    <pivotField showAll="0"/>
    <pivotField showAll="0"/>
    <pivotField dataField="1" showAll="0"/>
    <pivotField showAll="0"/>
    <pivotField showAll="0"/>
    <pivotField axis="axisPage" showAll="0">
      <items count="24">
        <item m="1" x="15"/>
        <item m="1" x="12"/>
        <item m="1" x="11"/>
        <item m="1" x="9"/>
        <item m="1" x="19"/>
        <item m="1" x="20"/>
        <item m="1" x="18"/>
        <item m="1" x="14"/>
        <item m="1" x="10"/>
        <item m="1" x="17"/>
        <item m="1" x="8"/>
        <item m="1" x="5"/>
        <item m="1" x="22"/>
        <item m="1" x="13"/>
        <item m="1" x="6"/>
        <item m="1" x="21"/>
        <item m="1" x="16"/>
        <item m="1" x="7"/>
        <item x="0"/>
        <item x="1"/>
        <item x="2"/>
        <item x="3"/>
        <item x="4"/>
        <item t="default"/>
      </items>
    </pivotField>
    <pivotField showAll="0" defaultSubtotal="0">
      <items count="2">
        <item x="1"/>
        <item x="0"/>
      </items>
    </pivotField>
  </pivotFields>
  <rowFields count="1">
    <field x="4"/>
  </rowFields>
  <rowItems count="6">
    <i>
      <x v="7"/>
    </i>
    <i>
      <x v="8"/>
    </i>
    <i>
      <x v="9"/>
    </i>
    <i>
      <x v="10"/>
    </i>
    <i>
      <x v="11"/>
    </i>
    <i t="grand">
      <x/>
    </i>
  </rowItems>
  <colItems count="1">
    <i/>
  </colItems>
  <pageFields count="2">
    <pageField fld="2" hier="-1"/>
    <pageField fld="12" hier="-1"/>
  </pageFields>
  <dataFields count="1">
    <dataField name="Somme de Total" fld="9" baseField="0" baseItem="1"/>
  </dataFields>
  <chartFormats count="1">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eau croisé dynamique6" cacheId="1"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1">
  <location ref="A1:B5" firstHeaderRow="1" firstDataRow="1" firstDataCol="1"/>
  <pivotFields count="7">
    <pivotField numFmtId="14" showAll="0"/>
    <pivotField axis="axisRow" showAll="0">
      <items count="6">
        <item x="1"/>
        <item m="1" x="3"/>
        <item m="1" x="4"/>
        <item x="2"/>
        <item x="0"/>
        <item t="default"/>
      </items>
    </pivotField>
    <pivotField numFmtId="166" showAll="0"/>
    <pivotField showAll="0"/>
    <pivotField numFmtId="166" showAll="0"/>
    <pivotField dataField="1" numFmtId="166" showAll="0"/>
    <pivotField numFmtId="166" showAll="0"/>
  </pivotFields>
  <rowFields count="1">
    <field x="1"/>
  </rowFields>
  <rowItems count="4">
    <i>
      <x/>
    </i>
    <i>
      <x v="3"/>
    </i>
    <i>
      <x v="4"/>
    </i>
    <i t="grand">
      <x/>
    </i>
  </rowItems>
  <colItems count="1">
    <i/>
  </colItems>
  <dataFields count="1">
    <dataField name="Moyenne de CA journée" fld="5" subtotal="average" baseField="1" baseItem="0"/>
  </dataFields>
  <chartFormats count="2">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location ref="A4:A5" firstHeaderRow="1" firstDataRow="1" firstDataCol="0" rowPageCount="2" colPageCount="1"/>
  <pivotFields count="14">
    <pivotField showAll="0"/>
    <pivotField showAll="0"/>
    <pivotField showAll="0">
      <items count="5">
        <item x="1"/>
        <item x="2"/>
        <item x="0"/>
        <item x="3"/>
        <item t="default"/>
      </items>
    </pivotField>
    <pivotField showAll="0"/>
    <pivotField showAll="0"/>
    <pivotField showAll="0"/>
    <pivotField showAll="0"/>
    <pivotField numFmtId="166" showAll="0"/>
    <pivotField showAll="0"/>
    <pivotField dataField="1" numFmtId="166" showAll="0"/>
    <pivotField showAll="0"/>
    <pivotField showAll="0"/>
    <pivotField axis="axisPage" showAll="0">
      <items count="24">
        <item x="0"/>
        <item x="1"/>
        <item x="2"/>
        <item x="3"/>
        <item x="4"/>
        <item m="1" x="21"/>
        <item m="1" x="7"/>
        <item m="1" x="13"/>
        <item m="1" x="16"/>
        <item m="1" x="6"/>
        <item m="1" x="15"/>
        <item m="1" x="12"/>
        <item m="1" x="11"/>
        <item m="1" x="9"/>
        <item m="1" x="19"/>
        <item m="1" x="20"/>
        <item m="1" x="18"/>
        <item m="1" x="14"/>
        <item m="1" x="5"/>
        <item m="1" x="10"/>
        <item m="1" x="17"/>
        <item m="1" x="8"/>
        <item m="1" x="22"/>
        <item t="default"/>
      </items>
    </pivotField>
    <pivotField axis="axisPage" showAll="0">
      <items count="3">
        <item x="1"/>
        <item x="0"/>
        <item t="default"/>
      </items>
    </pivotField>
  </pivotFields>
  <rowItems count="1">
    <i/>
  </rowItems>
  <colItems count="1">
    <i/>
  </colItems>
  <pageFields count="2">
    <pageField fld="13" hier="-1"/>
    <pageField fld="12" hier="-1"/>
  </pageFields>
  <dataFields count="1">
    <dataField name="Somme de Total"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_Code_caisse" sourceName="Code caisse">
  <pivotTables>
    <pivotTable tabId="20" name="Tableau croisé dynamique7"/>
  </pivotTables>
  <data>
    <tabular pivotCacheId="4">
      <items count="4">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_Mois" sourceName="Mois">
  <pivotTables>
    <pivotTable tabId="20" name="Tableau croisé dynamique9"/>
    <pivotTable tabId="20" name="Tableau croisé dynamique7"/>
  </pivotTables>
  <data>
    <tabular pivotCacheId="4" showMissing="0">
      <items count="23">
        <i x="0" s="1"/>
        <i x="1" s="1"/>
        <i x="2" s="1"/>
        <i x="3" s="1"/>
        <i x="4" s="1"/>
        <i x="21" s="1" nd="1"/>
        <i x="7" s="1" nd="1"/>
        <i x="13" s="1" nd="1"/>
        <i x="16" s="1" nd="1"/>
        <i x="6" s="1" nd="1"/>
        <i x="15" s="1" nd="1"/>
        <i x="12" s="1" nd="1"/>
        <i x="11" s="1" nd="1"/>
        <i x="9" s="1" nd="1"/>
        <i x="19" s="1" nd="1"/>
        <i x="20" s="1" nd="1"/>
        <i x="18" s="1" nd="1"/>
        <i x="14" s="1" nd="1"/>
        <i x="5" s="1" nd="1"/>
        <i x="10" s="1" nd="1"/>
        <i x="17" s="1" nd="1"/>
        <i x="8" s="1" nd="1"/>
        <i x="2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_Année" sourceName="Année">
  <pivotTables>
    <pivotTable tabId="20" name="Tableau croisé dynamique7"/>
    <pivotTable tabId="20" name="Tableau croisé dynamique9"/>
    <pivotTable tabId="20" name="Tableau croisé dynamique1"/>
  </pivotTables>
  <data>
    <tabular pivotCacheId="4">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_Mois1" sourceName="Mois">
  <pivotTables>
    <pivotTable tabId="21" name="Tableau croisé dynamique2"/>
  </pivotTables>
  <data>
    <tabular pivotCacheId="4" showMissing="0">
      <items count="23">
        <i x="0" s="1"/>
        <i x="1" s="1"/>
        <i x="2" s="1"/>
        <i x="3" s="1"/>
        <i x="4" s="1"/>
        <i x="21" s="1" nd="1"/>
        <i x="7" s="1" nd="1"/>
        <i x="13" s="1" nd="1"/>
        <i x="16" s="1" nd="1"/>
        <i x="6" s="1" nd="1"/>
        <i x="15" s="1" nd="1"/>
        <i x="12" s="1" nd="1"/>
        <i x="11" s="1" nd="1"/>
        <i x="9" s="1" nd="1"/>
        <i x="19" s="1" nd="1"/>
        <i x="20" s="1" nd="1"/>
        <i x="18" s="1" nd="1"/>
        <i x="14" s="1" nd="1"/>
        <i x="5" s="1" nd="1"/>
        <i x="10" s="1" nd="1"/>
        <i x="17" s="1" nd="1"/>
        <i x="8" s="1" nd="1"/>
        <i x="2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_Année1" sourceName="Année">
  <pivotTables>
    <pivotTable tabId="21" name="Tableau croisé dynamique2"/>
  </pivotTables>
  <data>
    <tabular pivotCacheId="4" showMissing="0">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is 1" cache="Segment_Mois1" caption="Mois" columnCount="4" style="SlicerStyleDark4 2" rowHeight="241300"/>
  <slicer name="Année 1" cache="Segment_Année1" caption="Année" columnCount="4" style="SlicerStyleDark4 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ode caisse" cache="Segment_Code_caisse" caption="Code caisse" columnCount="10" style="SlicerStyleDark4 2" rowHeight="241300"/>
  <slicer name="Mois" cache="Segment_Mois" caption="Mois" columnCount="5" style="SlicerStyleDark4 2" rowHeight="241300"/>
  <slicer name="Année" cache="Segment_Année" caption="Année" columnCount="6" style="SlicerStyleDark4 2" rowHeight="241300"/>
</slicers>
</file>

<file path=xl/tables/table1.xml><?xml version="1.0" encoding="utf-8"?>
<table xmlns="http://schemas.openxmlformats.org/spreadsheetml/2006/main" id="2" name="CodeCaisse1" displayName="CodeCaisse1" ref="B15:G19" totalsRowShown="0" headerRowDxfId="271" dataDxfId="270">
  <autoFilter ref="B15:G19"/>
  <tableColumns count="6">
    <tableColumn id="13" name="Code caisse" dataDxfId="269"/>
    <tableColumn id="12" name="Référence produit" dataDxfId="268">
      <calculatedColumnFormula>"BON"&amp;TEXT(ROW(B1),"000")</calculatedColumnFormula>
    </tableColumn>
    <tableColumn id="2" name="Désignation" dataDxfId="267"/>
    <tableColumn id="15" name="Fournisseur" dataDxfId="266"/>
    <tableColumn id="3" name="Marque" dataDxfId="265"/>
    <tableColumn id="6" name="Prix de vente" dataDxfId="264"/>
  </tableColumns>
  <tableStyleInfo name="TableStyleMedium2" showFirstColumn="0" showLastColumn="0" showRowStripes="1" showColumnStripes="0"/>
</table>
</file>

<file path=xl/tables/table2.xml><?xml version="1.0" encoding="utf-8"?>
<table xmlns="http://schemas.openxmlformats.org/spreadsheetml/2006/main" id="4" name="CodeCaisse2" displayName="CodeCaisse2" ref="B21:G24" totalsRowShown="0" headerRowDxfId="263" dataDxfId="262">
  <autoFilter ref="B21:G24"/>
  <tableColumns count="6">
    <tableColumn id="1" name="Code caisse" dataDxfId="261"/>
    <tableColumn id="2" name="Référence produit" dataDxfId="260">
      <calculatedColumnFormula>"BOU"&amp;TEXT(ROW(B1),"000")</calculatedColumnFormula>
    </tableColumn>
    <tableColumn id="3" name="Désignation" dataDxfId="259"/>
    <tableColumn id="6" name="Fournisseur" dataDxfId="258"/>
    <tableColumn id="4" name="Marque" dataDxfId="257"/>
    <tableColumn id="5" name="Prix de vente" dataDxfId="256"/>
  </tableColumns>
  <tableStyleInfo name="TableStyleMedium2" showFirstColumn="0" showLastColumn="0" showRowStripes="1" showColumnStripes="0"/>
</table>
</file>

<file path=xl/tables/table3.xml><?xml version="1.0" encoding="utf-8"?>
<table xmlns="http://schemas.openxmlformats.org/spreadsheetml/2006/main" id="5" name="CodeCaisse3" displayName="CodeCaisse3" ref="B26:G27" totalsRowShown="0" headerRowDxfId="255" dataDxfId="254">
  <autoFilter ref="B26:G27"/>
  <tableColumns count="6">
    <tableColumn id="1" name="Code caisse" dataDxfId="253"/>
    <tableColumn id="2" name="Référence produit" dataDxfId="252">
      <calculatedColumnFormula>"COL"&amp;TEXT(ROW(B1),"000")</calculatedColumnFormula>
    </tableColumn>
    <tableColumn id="3" name="Désignation" dataDxfId="251"/>
    <tableColumn id="6" name="Fournisseur" dataDxfId="250"/>
    <tableColumn id="4" name="Marque" dataDxfId="249"/>
    <tableColumn id="5" name="Prix de vente" dataDxfId="248"/>
  </tableColumns>
  <tableStyleInfo name="TableStyleMedium2" showFirstColumn="0" showLastColumn="0" showRowStripes="1" showColumnStripes="0"/>
</table>
</file>

<file path=xl/tables/table4.xml><?xml version="1.0" encoding="utf-8"?>
<table xmlns="http://schemas.openxmlformats.org/spreadsheetml/2006/main" id="6" name="CodeCaisse4" displayName="CodeCaisse4" ref="B29:G30" totalsRowShown="0" headerRowDxfId="247" dataDxfId="246">
  <autoFilter ref="B29:G30"/>
  <tableColumns count="6">
    <tableColumn id="1" name="Code caisse" dataDxfId="245"/>
    <tableColumn id="2" name="Référence produit" dataDxfId="244">
      <calculatedColumnFormula>"PAR"&amp;TEXT(ROW(B1),"000")</calculatedColumnFormula>
    </tableColumn>
    <tableColumn id="3" name="Désignation" dataDxfId="243"/>
    <tableColumn id="6" name="Fournisseur" dataDxfId="242"/>
    <tableColumn id="4" name="Marque" dataDxfId="241"/>
    <tableColumn id="5" name="Prix de vente" dataDxfId="240"/>
  </tableColumns>
  <tableStyleInfo name="TableStyleMedium2" showFirstColumn="0" showLastColumn="0" showRowStripes="1" showColumnStripes="0"/>
</table>
</file>

<file path=xl/tables/table5.xml><?xml version="1.0" encoding="utf-8"?>
<table xmlns="http://schemas.openxmlformats.org/spreadsheetml/2006/main" id="7" name="CodeCaisse5" displayName="CodeCaisse5" ref="B32:G33" insertRow="1" totalsRowShown="0" headerRowDxfId="239" dataDxfId="238">
  <autoFilter ref="B32:G33"/>
  <tableColumns count="6">
    <tableColumn id="1" name="Code caisse" dataDxfId="237"/>
    <tableColumn id="2" name="Référence produit" dataDxfId="236">
      <calculatedColumnFormula>"BRA"&amp;TEXT(ROW(B1),"000")</calculatedColumnFormula>
    </tableColumn>
    <tableColumn id="3" name="Désignation" dataDxfId="235"/>
    <tableColumn id="6" name="Fournisseur" dataDxfId="234"/>
    <tableColumn id="4" name="Marque" dataDxfId="233"/>
    <tableColumn id="5" name="Prix de vente" dataDxfId="232"/>
  </tableColumns>
  <tableStyleInfo name="TableStyleMedium2" showFirstColumn="0" showLastColumn="0" showRowStripes="1" showColumnStripes="0"/>
</table>
</file>

<file path=xl/tables/table6.xml><?xml version="1.0" encoding="utf-8"?>
<table xmlns="http://schemas.openxmlformats.org/spreadsheetml/2006/main" id="8" name="CodeCaisse6" displayName="CodeCaisse6" ref="B35:G36" insertRow="1" totalsRowShown="0" headerRowDxfId="231" dataDxfId="230">
  <autoFilter ref="B35:G36"/>
  <tableColumns count="6">
    <tableColumn id="1" name="Code caisse" dataDxfId="229"/>
    <tableColumn id="2" name="Référence produit" dataDxfId="228">
      <calculatedColumnFormula>"CLO"&amp;TEXT(ROW(B1),"000")</calculatedColumnFormula>
    </tableColumn>
    <tableColumn id="3" name="Désignation" dataDxfId="227"/>
    <tableColumn id="6" name="Fournisseur" dataDxfId="226"/>
    <tableColumn id="4" name="Marque" dataDxfId="225"/>
    <tableColumn id="5" name="Prix de vente" dataDxfId="224"/>
  </tableColumns>
  <tableStyleInfo name="TableStyleMedium2" showFirstColumn="0" showLastColumn="0" showRowStripes="1" showColumnStripes="0"/>
</table>
</file>

<file path=xl/tables/table7.xml><?xml version="1.0" encoding="utf-8"?>
<table xmlns="http://schemas.openxmlformats.org/spreadsheetml/2006/main" id="9" name="CodeCaisse7" displayName="CodeCaisse7" ref="B38:G39" insertRow="1" totalsRowShown="0" headerRowDxfId="223" dataDxfId="222">
  <autoFilter ref="B38:G39"/>
  <tableColumns count="6">
    <tableColumn id="1" name="Code caisse" dataDxfId="221"/>
    <tableColumn id="2" name="Référence produit" dataDxfId="220">
      <calculatedColumnFormula>"PIE"&amp;TEXT(ROW(B1),"000")</calculatedColumnFormula>
    </tableColumn>
    <tableColumn id="3" name="Désignation" dataDxfId="219"/>
    <tableColumn id="6" name="Fournisseur" dataDxfId="218"/>
    <tableColumn id="4" name="Marque" dataDxfId="217"/>
    <tableColumn id="5" name="Prix de vente" dataDxfId="216"/>
  </tableColumns>
  <tableStyleInfo name="TableStyleMedium2" showFirstColumn="0" showLastColumn="0" showRowStripes="1" showColumnStripes="0"/>
</table>
</file>

<file path=xl/tables/table8.xml><?xml version="1.0" encoding="utf-8"?>
<table xmlns="http://schemas.openxmlformats.org/spreadsheetml/2006/main" id="10" name="CodeCaisse8" displayName="CodeCaisse8" ref="B41:G42" insertRow="1" totalsRowShown="0" headerRowDxfId="215" dataDxfId="214">
  <autoFilter ref="B41:G42"/>
  <tableColumns count="6">
    <tableColumn id="1" name="Code caisse" dataDxfId="213"/>
    <tableColumn id="2" name="Référence produit" dataDxfId="212">
      <calculatedColumnFormula>"CHE"&amp;TEXT(ROW(B1),"000")</calculatedColumnFormula>
    </tableColumn>
    <tableColumn id="3" name="Désignation" dataDxfId="211"/>
    <tableColumn id="6" name="Fournisseur" dataDxfId="210"/>
    <tableColumn id="4" name="Marque" dataDxfId="209"/>
    <tableColumn id="5" name="Prix de vente" dataDxfId="208"/>
  </tableColumns>
  <tableStyleInfo name="TableStyleMedium2" showFirstColumn="0" showLastColumn="0" showRowStripes="1" showColumnStripes="0"/>
</table>
</file>

<file path=xl/tables/table9.xml><?xml version="1.0" encoding="utf-8"?>
<table xmlns="http://schemas.openxmlformats.org/spreadsheetml/2006/main" id="11" name="CodeCaisse9" displayName="CodeCaisse9" ref="B44:G45" insertRow="1" totalsRowShown="0" headerRowDxfId="207" dataDxfId="206">
  <autoFilter ref="B44:G45"/>
  <tableColumns count="6">
    <tableColumn id="1" name="Code caisse" dataDxfId="205"/>
    <tableColumn id="2" name="Référence produit" dataDxfId="204">
      <calculatedColumnFormula>"SAC"&amp;TEXT(ROW(B1),"000")</calculatedColumnFormula>
    </tableColumn>
    <tableColumn id="3" name="Désignation" dataDxfId="203"/>
    <tableColumn id="6" name="Fournisseur" dataDxfId="202"/>
    <tableColumn id="4" name="Marque" dataDxfId="201"/>
    <tableColumn id="5" name="Prix de vente" dataDxfId="200"/>
  </tableColumns>
  <tableStyleInfo name="TableStyleMedium2" showFirstColumn="0" showLastColumn="0" showRowStripes="1" showColumnStripes="0"/>
</table>
</file>

<file path=xl/tables/table10.xml><?xml version="1.0" encoding="utf-8"?>
<table xmlns="http://schemas.openxmlformats.org/spreadsheetml/2006/main" id="12" name="CodeCaisse10" displayName="CodeCaisse10" ref="B47:G48" insertRow="1" totalsRowShown="0" headerRowDxfId="199" dataDxfId="198">
  <autoFilter ref="B47:G48"/>
  <tableColumns count="6">
    <tableColumn id="1" name="Code caisse" dataDxfId="197"/>
    <tableColumn id="2" name="Référence produit" dataDxfId="196">
      <calculatedColumnFormula>"VER"&amp;TEXT(ROW(B1),"000")</calculatedColumnFormula>
    </tableColumn>
    <tableColumn id="3" name="Désignation" dataDxfId="195"/>
    <tableColumn id="6" name="Fournisseur" dataDxfId="194"/>
    <tableColumn id="4" name="Marque" dataDxfId="193"/>
    <tableColumn id="5" name="Prix de vente" dataDxfId="192"/>
  </tableColumns>
  <tableStyleInfo name="TableStyleMedium2" showFirstColumn="0" showLastColumn="0" showRowStripes="1" showColumnStripes="0"/>
</table>
</file>

<file path=xl/tables/table11.xml><?xml version="1.0" encoding="utf-8"?>
<table xmlns="http://schemas.openxmlformats.org/spreadsheetml/2006/main" id="13" name="CodeCaisse11" displayName="CodeCaisse11" ref="B50:G51" insertRow="1" totalsRowShown="0" headerRowDxfId="191" dataDxfId="190">
  <autoFilter ref="B50:G51"/>
  <tableColumns count="6">
    <tableColumn id="1" name="Code caisse" dataDxfId="189"/>
    <tableColumn id="2" name="Référence produit" dataDxfId="188">
      <calculatedColumnFormula>"ACO"&amp;TEXT(ROW(B1),"000")</calculatedColumnFormula>
    </tableColumn>
    <tableColumn id="3" name="Désignation" dataDxfId="187"/>
    <tableColumn id="6" name="Fournisseur" dataDxfId="186"/>
    <tableColumn id="4" name="Marque" dataDxfId="185"/>
    <tableColumn id="5" name="Prix de vente" dataDxfId="184"/>
  </tableColumns>
  <tableStyleInfo name="TableStyleMedium2" showFirstColumn="0" showLastColumn="0" showRowStripes="1" showColumnStripes="0"/>
</table>
</file>

<file path=xl/tables/table12.xml><?xml version="1.0" encoding="utf-8"?>
<table xmlns="http://schemas.openxmlformats.org/spreadsheetml/2006/main" id="14" name="CodeCaisse12" displayName="CodeCaisse12" ref="B53:G54" insertRow="1" totalsRowShown="0" headerRowDxfId="183" dataDxfId="182">
  <autoFilter ref="B53:G54"/>
  <tableColumns count="6">
    <tableColumn id="1" name="Code caisse" dataDxfId="181"/>
    <tableColumn id="2" name="Référence produit" dataDxfId="180">
      <calculatedColumnFormula>"TAT"&amp;TEXT(ROW(B1),"000")</calculatedColumnFormula>
    </tableColumn>
    <tableColumn id="3" name="Désignation" dataDxfId="179"/>
    <tableColumn id="6" name="Fournisseur" dataDxfId="178"/>
    <tableColumn id="4" name="Marque" dataDxfId="177"/>
    <tableColumn id="5" name="Prix de vente" dataDxfId="176"/>
  </tableColumns>
  <tableStyleInfo name="TableStyleMedium2" showFirstColumn="0" showLastColumn="0" showRowStripes="1" showColumnStripes="0"/>
</table>
</file>

<file path=xl/tables/table13.xml><?xml version="1.0" encoding="utf-8"?>
<table xmlns="http://schemas.openxmlformats.org/spreadsheetml/2006/main" id="15" name="CodeCaisse13" displayName="CodeCaisse13" ref="B56:G57" insertRow="1" totalsRowShown="0" headerRowDxfId="175" dataDxfId="174">
  <autoFilter ref="B56:G57"/>
  <tableColumns count="6">
    <tableColumn id="1" name="Code caisse" dataDxfId="173"/>
    <tableColumn id="2" name="Référence produit" dataDxfId="172">
      <calculatedColumnFormula>"ACT"&amp;TEXT(ROW(B1),"000")</calculatedColumnFormula>
    </tableColumn>
    <tableColumn id="3" name="Désignation" dataDxfId="171"/>
    <tableColumn id="6" name="Fournisseur" dataDxfId="170"/>
    <tableColumn id="4" name="Marque" dataDxfId="169"/>
    <tableColumn id="5" name="Prix de vente" dataDxfId="168"/>
  </tableColumns>
  <tableStyleInfo name="TableStyleMedium2" showFirstColumn="0" showLastColumn="0" showRowStripes="1" showColumnStripes="0"/>
</table>
</file>

<file path=xl/tables/table14.xml><?xml version="1.0" encoding="utf-8"?>
<table xmlns="http://schemas.openxmlformats.org/spreadsheetml/2006/main" id="16" name="CodeCaisse14" displayName="CodeCaisse14" ref="B59:G60" insertRow="1" totalsRowShown="0" headerRowDxfId="167" dataDxfId="166">
  <autoFilter ref="B59:G60"/>
  <tableColumns count="6">
    <tableColumn id="1" name="Code caisse" dataDxfId="165"/>
    <tableColumn id="2" name="Référence produit" dataDxfId="164">
      <calculatedColumnFormula>"CAD"&amp;TEXT(ROW(B1),"000")</calculatedColumnFormula>
    </tableColumn>
    <tableColumn id="3" name="Désignation" dataDxfId="163"/>
    <tableColumn id="6" name="Fournisseur" dataDxfId="162"/>
    <tableColumn id="4" name="Marque" dataDxfId="161"/>
    <tableColumn id="5" name="Prix de vente" dataDxfId="160"/>
  </tableColumns>
  <tableStyleInfo name="TableStyleMedium2" showFirstColumn="0" showLastColumn="0" showRowStripes="1" showColumnStripes="0"/>
</table>
</file>

<file path=xl/tables/table15.xml><?xml version="1.0" encoding="utf-8"?>
<table xmlns="http://schemas.openxmlformats.org/spreadsheetml/2006/main" id="17" name="CodeCaisse15" displayName="CodeCaisse15" ref="B62:G63" insertRow="1" totalsRowShown="0" headerRowDxfId="159" dataDxfId="158">
  <autoFilter ref="B62:G63"/>
  <tableColumns count="6">
    <tableColumn id="1" name="Code caisse" dataDxfId="157"/>
    <tableColumn id="2" name="Référence produit" dataDxfId="156">
      <calculatedColumnFormula>"TEL"&amp;TEXT(ROW(B1),"000")</calculatedColumnFormula>
    </tableColumn>
    <tableColumn id="3" name="Désignation" dataDxfId="155"/>
    <tableColumn id="6" name="Fournisseur" dataDxfId="154"/>
    <tableColumn id="4" name="Marque" dataDxfId="153"/>
    <tableColumn id="5" name="Prix de vente" dataDxfId="152"/>
  </tableColumns>
  <tableStyleInfo name="TableStyleMedium2" showFirstColumn="0" showLastColumn="0" showRowStripes="1" showColumnStripes="0"/>
</table>
</file>

<file path=xl/tables/table16.xml><?xml version="1.0" encoding="utf-8"?>
<table xmlns="http://schemas.openxmlformats.org/spreadsheetml/2006/main" id="18" name="CodeCaisse16" displayName="CodeCaisse16" ref="B65:G66" insertRow="1" totalsRowShown="0" headerRowDxfId="151" dataDxfId="150">
  <autoFilter ref="B65:G66"/>
  <tableColumns count="6">
    <tableColumn id="1" name="Code caisse" dataDxfId="149"/>
    <tableColumn id="2" name="Référence produit" dataDxfId="148">
      <calculatedColumnFormula>"BAG"&amp;TEXT(ROW(B1),"000")</calculatedColumnFormula>
    </tableColumn>
    <tableColumn id="3" name="Désignation" dataDxfId="147"/>
    <tableColumn id="6" name="Fournisseur" dataDxfId="146"/>
    <tableColumn id="4" name="Marque" dataDxfId="145"/>
    <tableColumn id="5" name="Prix de vente" dataDxfId="144"/>
  </tableColumns>
  <tableStyleInfo name="TableStyleMedium2" showFirstColumn="0" showLastColumn="0" showRowStripes="1" showColumnStripes="0"/>
</table>
</file>

<file path=xl/tables/table17.xml><?xml version="1.0" encoding="utf-8"?>
<table xmlns="http://schemas.openxmlformats.org/spreadsheetml/2006/main" id="19" name="CodeCaisse17" displayName="CodeCaisse17" ref="B68:G69" insertRow="1" totalsRowShown="0" headerRowDxfId="143" dataDxfId="142">
  <autoFilter ref="B68:G69"/>
  <tableColumns count="6">
    <tableColumn id="1" name="Code caisse" dataDxfId="141"/>
    <tableColumn id="2" name="Référence produit" dataDxfId="140">
      <calculatedColumnFormula>"ECH"&amp;TEXT(ROW(B1),"000")</calculatedColumnFormula>
    </tableColumn>
    <tableColumn id="3" name="Désignation" dataDxfId="139"/>
    <tableColumn id="6" name="Fournisseur" dataDxfId="138"/>
    <tableColumn id="4" name="Marque" dataDxfId="137"/>
    <tableColumn id="5" name="Prix de vente" dataDxfId="136"/>
  </tableColumns>
  <tableStyleInfo name="TableStyleMedium2" showFirstColumn="0" showLastColumn="0" showRowStripes="1" showColumnStripes="0"/>
</table>
</file>

<file path=xl/tables/table18.xml><?xml version="1.0" encoding="utf-8"?>
<table xmlns="http://schemas.openxmlformats.org/spreadsheetml/2006/main" id="20" name="CodeCaisse18" displayName="CodeCaisse18" ref="B71:G72" insertRow="1" totalsRowShown="0" headerRowDxfId="135" dataDxfId="134">
  <autoFilter ref="B71:G72"/>
  <tableColumns count="6">
    <tableColumn id="1" name="Code caisse" dataDxfId="133"/>
    <tableColumn id="2" name="Référence produit" dataDxfId="132">
      <calculatedColumnFormula>"CAR"&amp;TEXT(ROW(B1),"000")</calculatedColumnFormula>
    </tableColumn>
    <tableColumn id="3" name="Désignation" dataDxfId="131"/>
    <tableColumn id="6" name="Fournisseur" dataDxfId="130"/>
    <tableColumn id="4" name="Marque" dataDxfId="129"/>
    <tableColumn id="5" name="Prix de vente" dataDxfId="128"/>
  </tableColumns>
  <tableStyleInfo name="TableStyleMedium2" showFirstColumn="0" showLastColumn="0" showRowStripes="1" showColumnStripes="0"/>
</table>
</file>

<file path=xl/tables/table19.xml><?xml version="1.0" encoding="utf-8"?>
<table xmlns="http://schemas.openxmlformats.org/spreadsheetml/2006/main" id="21" name="CodeCaisse19" displayName="CodeCaisse19" ref="B74:G75" insertRow="1" totalsRowShown="0" headerRowDxfId="127" dataDxfId="126">
  <autoFilter ref="B74:G75"/>
  <tableColumns count="6">
    <tableColumn id="1" name="Code caisse" dataDxfId="125"/>
    <tableColumn id="2" name="Référence produit" dataDxfId="124">
      <calculatedColumnFormula>"COS"&amp;TEXT(ROW(B1),"000")</calculatedColumnFormula>
    </tableColumn>
    <tableColumn id="3" name="Désignation" dataDxfId="123"/>
    <tableColumn id="6" name="Fournisseur" dataDxfId="122"/>
    <tableColumn id="4" name="Marque" dataDxfId="121"/>
    <tableColumn id="5" name="Prix de vente" dataDxfId="120"/>
  </tableColumns>
  <tableStyleInfo name="TableStyleMedium2" showFirstColumn="0" showLastColumn="0" showRowStripes="1" showColumnStripes="0"/>
</table>
</file>

<file path=xl/tables/table20.xml><?xml version="1.0" encoding="utf-8"?>
<table xmlns="http://schemas.openxmlformats.org/spreadsheetml/2006/main" id="32" name="CodeCaisse20" displayName="CodeCaisse20" ref="B77:G79" totalsRowShown="0" headerRowDxfId="13" dataDxfId="14">
  <autoFilter ref="B77:G79"/>
  <tableColumns count="6">
    <tableColumn id="1" name="Code caisse" dataDxfId="20"/>
    <tableColumn id="2" name="Référence produit" dataDxfId="19">
      <calculatedColumnFormula>"MON"&amp;TEXT(ROW(B1),"000")</calculatedColumnFormula>
    </tableColumn>
    <tableColumn id="3" name="Désignation" dataDxfId="18"/>
    <tableColumn id="4" name="Fournisseur" dataDxfId="17"/>
    <tableColumn id="5" name="Marque" dataDxfId="16"/>
    <tableColumn id="6" name="Prix de vente" dataDxfId="15"/>
  </tableColumns>
  <tableStyleInfo name="TableStyleMedium2" showFirstColumn="0" showLastColumn="0" showRowStripes="1" showColumnStripes="0"/>
</table>
</file>

<file path=xl/tables/table21.xml><?xml version="1.0" encoding="utf-8"?>
<table xmlns="http://schemas.openxmlformats.org/spreadsheetml/2006/main" id="22" name="fournisseurs" displayName="fournisseurs" ref="C16:G21" totalsRowShown="0" headerRowDxfId="119" dataDxfId="118">
  <autoFilter ref="C16:G21"/>
  <tableColumns count="5">
    <tableColumn id="1" name="Référence" dataDxfId="117">
      <calculatedColumnFormula>"FOUR"&amp;TEXT(ROW(C1),"000")</calculatedColumnFormula>
    </tableColumn>
    <tableColumn id="2" name="Désignation" dataDxfId="116"/>
    <tableColumn id="3" name="Adresse site" dataDxfId="115"/>
    <tableColumn id="4" name="Autre contact" dataDxfId="114"/>
    <tableColumn id="5" name="Commentaires" dataDxfId="113"/>
  </tableColumns>
  <tableStyleInfo name="TableStyleMedium2" showFirstColumn="0" showLastColumn="0" showRowStripes="1" showColumnStripes="0"/>
</table>
</file>

<file path=xl/tables/table22.xml><?xml version="1.0" encoding="utf-8"?>
<table xmlns="http://schemas.openxmlformats.org/spreadsheetml/2006/main" id="1" name="achats" displayName="achats" ref="B19:J32" totalsRowShown="0" headerRowDxfId="112" dataDxfId="111">
  <autoFilter ref="B19:J32"/>
  <tableColumns count="9">
    <tableColumn id="1" name="Date" dataDxfId="110"/>
    <tableColumn id="2" name="Code caisse" dataDxfId="109"/>
    <tableColumn id="3" name="Référence produit" dataDxfId="108"/>
    <tableColumn id="4" name="Désignation" dataDxfId="107"/>
    <tableColumn id="9" name="Marque" dataDxfId="106"/>
    <tableColumn id="5" name="Quantité" dataDxfId="105"/>
    <tableColumn id="6" name="Prix d'achat unitaire" dataDxfId="12"/>
    <tableColumn id="7" name="Prix de vente unitaire" dataDxfId="11"/>
    <tableColumn id="8" name="Commentaires" dataDxfId="104"/>
  </tableColumns>
  <tableStyleInfo name="TableStyleMedium2" showFirstColumn="0" showLastColumn="0" showRowStripes="1" showColumnStripes="0"/>
</table>
</file>

<file path=xl/tables/table23.xml><?xml version="1.0" encoding="utf-8"?>
<table xmlns="http://schemas.openxmlformats.org/spreadsheetml/2006/main" id="24" name="ventes" displayName="ventes" ref="B17:O30" totalsRowShown="0" headerRowDxfId="103" dataDxfId="102">
  <autoFilter ref="B17:O30"/>
  <tableColumns count="14">
    <tableColumn id="1" name="Date" dataDxfId="101"/>
    <tableColumn id="10" name="Nature opération" dataDxfId="100"/>
    <tableColumn id="2" name="Code caisse" dataDxfId="99"/>
    <tableColumn id="3" name="Référence produit" dataDxfId="98"/>
    <tableColumn id="4" name="Désignation" dataDxfId="97"/>
    <tableColumn id="12" name="Marque" dataDxfId="96"/>
    <tableColumn id="5" name="Quantité" dataDxfId="95"/>
    <tableColumn id="9" name="Prix de vente unitaire" dataDxfId="94"/>
    <tableColumn id="11" name="Soldes" dataDxfId="93"/>
    <tableColumn id="6" name="Total" dataDxfId="92">
      <calculatedColumnFormula>ventes[[#This Row],[Quantité]]*ventes[[#This Row],[Prix de vente unitaire]]</calculatedColumnFormula>
    </tableColumn>
    <tableColumn id="7" name="Mode paiement" dataDxfId="91"/>
    <tableColumn id="8" name="Commentaires" dataDxfId="90"/>
    <tableColumn id="13" name="Mois" dataDxfId="89">
      <calculatedColumnFormula>TEXT(30*MONTH(ventes[[#This Row],[Date]]), "mmmm")</calculatedColumnFormula>
    </tableColumn>
    <tableColumn id="14" name="Année" dataDxfId="88">
      <calculatedColumnFormula>TEXT(ventes[[#This Row],[Date]],"AAAA")</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3" name="Table1" displayName="Table1" ref="A1:D4" totalsRowShown="0" headerRowDxfId="87" dataDxfId="86">
  <autoFilter ref="A1:D4"/>
  <tableColumns count="4">
    <tableColumn id="1" name="Colonne1" dataDxfId="85"/>
    <tableColumn id="2" name="Colonne2" dataDxfId="84"/>
    <tableColumn id="3" name="Colonne3" dataDxfId="83"/>
    <tableColumn id="4" name="Colonne4" dataDxfId="82"/>
  </tableColumns>
  <tableStyleInfo name="TableStyleMedium2" showFirstColumn="0" showLastColumn="0" showRowStripes="1" showColumnStripes="0"/>
</table>
</file>

<file path=xl/tables/table25.xml><?xml version="1.0" encoding="utf-8"?>
<table xmlns="http://schemas.openxmlformats.org/spreadsheetml/2006/main" id="27" name="Stocks" displayName="Stocks" ref="B17:I24" totalsRowShown="0" headerRowDxfId="81" dataDxfId="80" tableBorderDxfId="79">
  <autoFilter ref="B17:I24"/>
  <tableColumns count="8">
    <tableColumn id="1" name="Code caisse" dataDxfId="78"/>
    <tableColumn id="2" name="Référence produit" dataDxfId="77"/>
    <tableColumn id="3" name="Désignation" dataDxfId="76"/>
    <tableColumn id="9" name="Marque" dataDxfId="75"/>
    <tableColumn id="4" name="Quantité" dataDxfId="74"/>
    <tableColumn id="10" name="Coût d'achat unitaire (PEPS)" dataDxfId="73"/>
    <tableColumn id="5" name="Coût du stock" dataDxfId="72">
      <calculatedColumnFormula>Stocks[[#This Row],[Quantité]]*Stocks[[#This Row],[Coût d''achat unitaire (PEPS)]]</calculatedColumnFormula>
    </tableColumn>
    <tableColumn id="6" name="Valeur à la vente" dataDxfId="71">
      <calculatedColumnFormula>VLOOKUP(D18,ZoneProduits,4,FALSE)*Stocks[[#This Row],[Quantité]]</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5" name="FraisExploitation" displayName="FraisExploitation" ref="G38:J50" totalsRowCount="1" headerRowDxfId="70" dataDxfId="69" totalsRowDxfId="68">
  <autoFilter ref="G38:J49"/>
  <sortState ref="G31:K51">
    <sortCondition ref="G16:G37"/>
  </sortState>
  <tableColumns count="4">
    <tableColumn id="1" name="FRAIS D’EXPLOITATION" totalsRowLabel="Total" dataDxfId="67" totalsRowDxfId="66"/>
    <tableColumn id="2" name="ESTIMÉ" totalsRowFunction="sum" dataDxfId="65" totalsRowDxfId="64"/>
    <tableColumn id="3" name="REEL" totalsRowFunction="sum" dataDxfId="63" totalsRowDxfId="62"/>
    <tableColumn id="4" name="DIFFÉRENCE" totalsRowFunction="sum" dataDxfId="7" totalsRowDxfId="6"/>
  </tableColumns>
  <tableStyleInfo name="Monthly Budget"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7.xml><?xml version="1.0" encoding="utf-8"?>
<table xmlns="http://schemas.openxmlformats.org/spreadsheetml/2006/main" id="26" name="Revenus" displayName="Revenus" ref="G22:J32" totalsRowCount="1" headerRowDxfId="61" dataDxfId="60" totalsRowDxfId="59">
  <autoFilter ref="G22:J31"/>
  <tableColumns count="4">
    <tableColumn id="1" name="REVENUS" totalsRowLabel="Total" dataDxfId="58" totalsRowDxfId="57"/>
    <tableColumn id="2" name="ESTIMÉ" totalsRowFunction="sum" dataDxfId="56" totalsRowDxfId="55"/>
    <tableColumn id="3" name="REEL" totalsRowFunction="sum" dataDxfId="54" totalsRowDxfId="53"/>
    <tableColumn id="4" name="DIFFÉRENCE" totalsRowFunction="sum" dataDxfId="5" totalsRowDxfId="4"/>
  </tableColumns>
  <tableStyleInfo name="Monthly Budget" showFirstColumn="0" showLastColumn="0" showRowStripes="0" showColumnStripes="0"/>
  <extLst>
    <ext xmlns:x14="http://schemas.microsoft.com/office/spreadsheetml/2009/9/main" uri="{504A1905-F514-4f6f-8877-14C23A59335A}">
      <x14:table altText="Tableau Revenus" altTextSummary="Liste des sources de revenus pour les valeurs réelles et estimées avec la différence calculée."/>
    </ext>
  </extLst>
</table>
</file>

<file path=xl/tables/table28.xml><?xml version="1.0" encoding="utf-8"?>
<table xmlns="http://schemas.openxmlformats.org/spreadsheetml/2006/main" id="28" name="TableauTotaux" displayName="TableauTotaux" ref="B22:E25" totalsRowCount="1" headerRowDxfId="52" dataDxfId="51" totalsRowDxfId="50">
  <autoFilter ref="B22:E24"/>
  <tableColumns count="4">
    <tableColumn id="1" name="TOTAUX DU BUDGET" totalsRowLabel="Solde (revenus moins dépenses)" dataDxfId="49" totalsRowDxfId="48"/>
    <tableColumn id="2" name="ESTIMÉ" totalsRowFunction="custom" dataDxfId="47" totalsRowDxfId="46">
      <totalsRowFormula>C23-C24</totalsRowFormula>
    </tableColumn>
    <tableColumn id="3" name="RÉEL" totalsRowFunction="custom" dataDxfId="45" totalsRowDxfId="44">
      <totalsRowFormula>D23-D24</totalsRowFormula>
    </tableColumn>
    <tableColumn id="4" name="DIFFÉRENCE" totalsRowFunction="sum" dataDxfId="1" totalsRowDxfId="0"/>
  </tableColumns>
  <tableStyleInfo name="Monthly Budget"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29.xml><?xml version="1.0" encoding="utf-8"?>
<table xmlns="http://schemas.openxmlformats.org/spreadsheetml/2006/main" id="30" name="DépensesPersonnelles" displayName="DépensesPersonnelles" ref="G34:J36" totalsRowCount="1" headerRowDxfId="43" dataDxfId="42" totalsRowDxfId="41">
  <autoFilter ref="G34:J35"/>
  <tableColumns count="4">
    <tableColumn id="1" name="CHARGES DE PERSONNEL" totalsRowLabel="Personnel total" dataDxfId="40" totalsRowDxfId="39"/>
    <tableColumn id="2" name="ESTIMÉ" totalsRowFunction="sum" dataDxfId="38" totalsRowDxfId="37"/>
    <tableColumn id="3" name="REEL" totalsRowFunction="sum" dataDxfId="36" totalsRowDxfId="35"/>
    <tableColumn id="5" name="DIFFÉRENCE" totalsRowFunction="sum" dataDxfId="3" totalsRowDxfId="2"/>
  </tableColumns>
  <tableStyleInfo name="Monthly Budget" showFirstColumn="0" showLastColumn="0" showRowStripes="0" showColumnStripes="0"/>
  <extLst>
    <ext xmlns:x14="http://schemas.microsoft.com/office/spreadsheetml/2009/9/main" uri="{504A1905-F514-4f6f-8877-14C23A59335A}">
      <x14:table altText="Tableau Dépenses personnelles" altTextSummary="Liste des dépenses personnelles pour les valeurs réelles et estimées avec la différence calculée."/>
    </ext>
  </extLst>
</table>
</file>

<file path=xl/tables/table30.xml><?xml version="1.0" encoding="utf-8"?>
<table xmlns="http://schemas.openxmlformats.org/spreadsheetml/2006/main" id="23" name="Tableau23" displayName="Tableau23" ref="B21:D36" totalsRowShown="0" headerRowDxfId="34">
  <autoFilter ref="B21:D36"/>
  <tableColumns count="3">
    <tableColumn id="4" name="Nombre" dataDxfId="33"/>
    <tableColumn id="1" name="€" dataDxfId="32"/>
    <tableColumn id="2" name="Total" dataDxfId="31">
      <calculatedColumnFormula>Tableau23[[#This Row],[Nombre]]*Tableau23[[#This Row],[€]]</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29" name="historique" displayName="historique" ref="B13:I21" totalsRowShown="0" headerRowDxfId="30" dataDxfId="29">
  <autoFilter ref="B13:I21"/>
  <tableColumns count="8">
    <tableColumn id="1" name="Date" dataDxfId="28"/>
    <tableColumn id="2" name="Météo" dataDxfId="27"/>
    <tableColumn id="3" name="Fond de caisse fin de journée" dataDxfId="26"/>
    <tableColumn id="4" name="Nombre de chèques" dataDxfId="25"/>
    <tableColumn id="5" name="Total chèques" dataDxfId="24"/>
    <tableColumn id="6" name="CA journée" dataDxfId="23"/>
    <tableColumn id="7" name="CA cumulé" dataDxfId="22">
      <calculatedColumnFormula>IF(ISERROR(H13+G14),G14,H13+G14)</calculatedColumnFormula>
    </tableColumn>
    <tableColumn id="8" name="Commentaires" dataDxfId="21"/>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Personnalisé 2">
      <a:dk1>
        <a:sysClr val="windowText" lastClr="000000"/>
      </a:dk1>
      <a:lt1>
        <a:sysClr val="window" lastClr="FFFFFF"/>
      </a:lt1>
      <a:dk2>
        <a:srgbClr val="1F497D"/>
      </a:dk2>
      <a:lt2>
        <a:srgbClr val="EEECE1"/>
      </a:lt2>
      <a:accent1>
        <a:srgbClr val="5F0060"/>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 Type="http://schemas.openxmlformats.org/officeDocument/2006/relationships/drawing" Target="../drawings/drawing2.x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table" Target="../tables/table13.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table" Target="../tables/table2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26.xml"/><Relationship Id="rId7" Type="http://schemas.microsoft.com/office/2007/relationships/slicer" Target="../slicers/slicer1.x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table" Target="../tables/table29.xml"/><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5.bin"/><Relationship Id="rId5" Type="http://schemas.openxmlformats.org/officeDocument/2006/relationships/table" Target="../tables/table30.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J5"/>
  <sheetViews>
    <sheetView showGridLines="0" workbookViewId="0">
      <selection activeCell="B12" sqref="B12"/>
    </sheetView>
  </sheetViews>
  <sheetFormatPr baseColWidth="10" defaultRowHeight="15" x14ac:dyDescent="0.25"/>
  <sheetData>
    <row r="5" spans="10:10" ht="23.25" x14ac:dyDescent="0.35">
      <c r="J5" s="2" t="s">
        <v>30</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B7:G79"/>
  <sheetViews>
    <sheetView showGridLines="0" workbookViewId="0">
      <selection activeCell="D87" sqref="D87"/>
    </sheetView>
  </sheetViews>
  <sheetFormatPr baseColWidth="10" defaultRowHeight="15" x14ac:dyDescent="0.25"/>
  <cols>
    <col min="1" max="1" width="11.42578125" style="6"/>
    <col min="2" max="2" width="21" style="26" bestFit="1" customWidth="1"/>
    <col min="3" max="3" width="22.5703125" style="6" customWidth="1"/>
    <col min="4" max="4" width="37.42578125" style="3" customWidth="1"/>
    <col min="5" max="5" width="30.7109375" style="6" customWidth="1"/>
    <col min="6" max="6" width="20.7109375" style="6" customWidth="1"/>
    <col min="7" max="7" width="15" style="23" bestFit="1" customWidth="1"/>
    <col min="8" max="8" width="11.5703125" style="6" customWidth="1"/>
    <col min="9" max="10" width="12.5703125" style="6" customWidth="1"/>
    <col min="11" max="16384" width="11.42578125" style="6"/>
  </cols>
  <sheetData>
    <row r="7" spans="2:7" ht="23.25" x14ac:dyDescent="0.35">
      <c r="E7" s="91" t="s">
        <v>34</v>
      </c>
      <c r="F7" s="91"/>
      <c r="G7" s="38"/>
    </row>
    <row r="8" spans="2:7" ht="23.25" x14ac:dyDescent="0.35">
      <c r="E8" s="5"/>
    </row>
    <row r="9" spans="2:7" ht="23.25" x14ac:dyDescent="0.35">
      <c r="E9" s="5"/>
    </row>
    <row r="10" spans="2:7" ht="23.25" x14ac:dyDescent="0.35">
      <c r="E10" s="5"/>
    </row>
    <row r="11" spans="2:7" ht="23.25" x14ac:dyDescent="0.35">
      <c r="E11" s="5"/>
    </row>
    <row r="14" spans="2:7" x14ac:dyDescent="0.25">
      <c r="B14" s="27" t="str">
        <f>'Code caisse'!$B$3</f>
        <v>Bonbons</v>
      </c>
      <c r="C14" s="28" t="str">
        <f xml:space="preserve"> "Code caisse :"</f>
        <v>Code caisse :</v>
      </c>
      <c r="D14" s="4">
        <f>'Code caisse'!$A$3</f>
        <v>1</v>
      </c>
    </row>
    <row r="15" spans="2:7" x14ac:dyDescent="0.25">
      <c r="B15" s="26" t="s">
        <v>9</v>
      </c>
      <c r="C15" s="6" t="s">
        <v>0</v>
      </c>
      <c r="D15" s="3" t="s">
        <v>1</v>
      </c>
      <c r="E15" s="6" t="s">
        <v>3</v>
      </c>
      <c r="F15" s="6" t="s">
        <v>8</v>
      </c>
      <c r="G15" s="23" t="s">
        <v>2</v>
      </c>
    </row>
    <row r="16" spans="2:7" x14ac:dyDescent="0.25">
      <c r="B16" s="26">
        <v>1</v>
      </c>
      <c r="C16" s="6" t="str">
        <f>"BON"&amp;TEXT(ROW(B1),"000")</f>
        <v>BON001</v>
      </c>
      <c r="D16" s="3" t="s">
        <v>118</v>
      </c>
      <c r="E16" s="6" t="s">
        <v>119</v>
      </c>
      <c r="F16" s="6" t="s">
        <v>120</v>
      </c>
      <c r="G16" s="23">
        <v>0.12</v>
      </c>
    </row>
    <row r="17" spans="2:7" x14ac:dyDescent="0.25">
      <c r="B17" s="26">
        <v>1</v>
      </c>
      <c r="C17" s="6" t="str">
        <f>"BON"&amp;TEXT(ROW(B2),"000")</f>
        <v>BON002</v>
      </c>
      <c r="D17" s="3" t="s">
        <v>121</v>
      </c>
      <c r="E17" s="6" t="s">
        <v>119</v>
      </c>
      <c r="F17" s="6" t="s">
        <v>122</v>
      </c>
      <c r="G17" s="23">
        <v>0.15</v>
      </c>
    </row>
    <row r="18" spans="2:7" x14ac:dyDescent="0.25">
      <c r="B18" s="26">
        <v>1</v>
      </c>
      <c r="C18" s="6" t="str">
        <f>"BON"&amp;TEXT(ROW(B3),"000")</f>
        <v>BON003</v>
      </c>
      <c r="D18" s="3" t="s">
        <v>123</v>
      </c>
      <c r="E18" s="6" t="s">
        <v>124</v>
      </c>
      <c r="F18" s="6" t="s">
        <v>125</v>
      </c>
      <c r="G18" s="23">
        <v>0.12</v>
      </c>
    </row>
    <row r="19" spans="2:7" x14ac:dyDescent="0.25">
      <c r="B19" s="26">
        <v>1</v>
      </c>
      <c r="C19" s="6" t="str">
        <f>"BON"&amp;TEXT(ROW(B4),"000")</f>
        <v>BON004</v>
      </c>
      <c r="D19" s="3" t="s">
        <v>164</v>
      </c>
      <c r="E19" s="6" t="s">
        <v>119</v>
      </c>
      <c r="G19" s="23">
        <v>0.19</v>
      </c>
    </row>
    <row r="20" spans="2:7" x14ac:dyDescent="0.25">
      <c r="B20" s="27" t="str">
        <f>'Code caisse'!$B$4</f>
        <v>Boucles d'oreilles</v>
      </c>
      <c r="C20" s="28" t="str">
        <f xml:space="preserve"> "Code caisse :"</f>
        <v>Code caisse :</v>
      </c>
      <c r="D20" s="4">
        <f>'Code caisse'!$A$4</f>
        <v>2</v>
      </c>
    </row>
    <row r="21" spans="2:7" x14ac:dyDescent="0.25">
      <c r="B21" s="26" t="s">
        <v>9</v>
      </c>
      <c r="C21" s="6" t="s">
        <v>0</v>
      </c>
      <c r="D21" s="3" t="s">
        <v>1</v>
      </c>
      <c r="E21" s="6" t="s">
        <v>3</v>
      </c>
      <c r="F21" s="6" t="s">
        <v>8</v>
      </c>
      <c r="G21" s="23" t="s">
        <v>2</v>
      </c>
    </row>
    <row r="22" spans="2:7" x14ac:dyDescent="0.25">
      <c r="B22" s="26">
        <v>2</v>
      </c>
      <c r="C22" s="3" t="str">
        <f>"BOU"&amp;TEXT(ROW(B1),"000")</f>
        <v>BOU001</v>
      </c>
      <c r="D22" s="3" t="s">
        <v>126</v>
      </c>
      <c r="E22" s="6" t="s">
        <v>127</v>
      </c>
      <c r="F22" s="6" t="s">
        <v>128</v>
      </c>
      <c r="G22" s="23">
        <v>12</v>
      </c>
    </row>
    <row r="23" spans="2:7" x14ac:dyDescent="0.25">
      <c r="B23" s="26">
        <v>2</v>
      </c>
      <c r="C23" s="3" t="str">
        <f>"BOU"&amp;TEXT(ROW(B2),"000")</f>
        <v>BOU002</v>
      </c>
      <c r="D23" s="3" t="s">
        <v>129</v>
      </c>
      <c r="E23" s="6" t="s">
        <v>127</v>
      </c>
      <c r="F23" s="6" t="s">
        <v>130</v>
      </c>
      <c r="G23" s="23">
        <v>2.2999999999999998</v>
      </c>
    </row>
    <row r="24" spans="2:7" x14ac:dyDescent="0.25">
      <c r="B24" s="26">
        <v>2</v>
      </c>
      <c r="C24" s="3" t="str">
        <f>"BOU"&amp;TEXT(ROW(B3),"000")</f>
        <v>BOU003</v>
      </c>
      <c r="D24" s="3" t="s">
        <v>162</v>
      </c>
      <c r="E24" s="6" t="s">
        <v>127</v>
      </c>
      <c r="F24" s="6" t="s">
        <v>163</v>
      </c>
      <c r="G24" s="23">
        <v>10</v>
      </c>
    </row>
    <row r="25" spans="2:7" x14ac:dyDescent="0.25">
      <c r="B25" s="27" t="str">
        <f>'Code caisse'!$B$5</f>
        <v>Colliers</v>
      </c>
      <c r="C25" s="28" t="str">
        <f xml:space="preserve"> "Code caisse :"</f>
        <v>Code caisse :</v>
      </c>
      <c r="D25" s="4">
        <f>'Code caisse'!$A$5</f>
        <v>3</v>
      </c>
    </row>
    <row r="26" spans="2:7" x14ac:dyDescent="0.25">
      <c r="B26" s="26" t="s">
        <v>9</v>
      </c>
      <c r="C26" s="6" t="s">
        <v>0</v>
      </c>
      <c r="D26" s="3" t="s">
        <v>1</v>
      </c>
      <c r="E26" s="6" t="s">
        <v>3</v>
      </c>
      <c r="F26" s="6" t="s">
        <v>8</v>
      </c>
      <c r="G26" s="23" t="s">
        <v>2</v>
      </c>
    </row>
    <row r="27" spans="2:7" x14ac:dyDescent="0.25">
      <c r="B27" s="26">
        <v>3</v>
      </c>
      <c r="C27" s="3" t="str">
        <f>"COL"&amp;TEXT(ROW(B1),"000")</f>
        <v>COL001</v>
      </c>
      <c r="D27" s="3" t="s">
        <v>131</v>
      </c>
      <c r="E27" s="6" t="s">
        <v>127</v>
      </c>
      <c r="F27" s="6" t="s">
        <v>132</v>
      </c>
      <c r="G27" s="23">
        <v>10.5</v>
      </c>
    </row>
    <row r="28" spans="2:7" x14ac:dyDescent="0.25">
      <c r="B28" s="27" t="str">
        <f>'Code caisse'!$B$6</f>
        <v>Parrures</v>
      </c>
      <c r="C28" s="28" t="str">
        <f xml:space="preserve"> "Code caisse :"</f>
        <v>Code caisse :</v>
      </c>
      <c r="D28" s="4">
        <f>'Code caisse'!$A$6</f>
        <v>4</v>
      </c>
    </row>
    <row r="29" spans="2:7" x14ac:dyDescent="0.25">
      <c r="B29" s="26" t="s">
        <v>9</v>
      </c>
      <c r="C29" s="6" t="s">
        <v>0</v>
      </c>
      <c r="D29" s="3" t="s">
        <v>1</v>
      </c>
      <c r="E29" s="6" t="s">
        <v>3</v>
      </c>
      <c r="F29" s="6" t="s">
        <v>8</v>
      </c>
      <c r="G29" s="23" t="s">
        <v>2</v>
      </c>
    </row>
    <row r="30" spans="2:7" x14ac:dyDescent="0.25">
      <c r="B30" s="26">
        <v>4</v>
      </c>
      <c r="C30" s="3" t="str">
        <f>"PAR"&amp;TEXT(ROW(B1),"000")</f>
        <v>PAR001</v>
      </c>
      <c r="D30" s="3" t="s">
        <v>133</v>
      </c>
      <c r="E30" s="6" t="s">
        <v>127</v>
      </c>
      <c r="F30" s="6" t="s">
        <v>134</v>
      </c>
      <c r="G30" s="23">
        <v>40</v>
      </c>
    </row>
    <row r="31" spans="2:7" x14ac:dyDescent="0.25">
      <c r="B31" s="27" t="str">
        <f>'Code caisse'!$B$7</f>
        <v>Bracelets</v>
      </c>
      <c r="C31" s="28" t="str">
        <f xml:space="preserve"> "Code caisse :"</f>
        <v>Code caisse :</v>
      </c>
      <c r="D31" s="4">
        <f>'Code caisse'!$A$7</f>
        <v>5</v>
      </c>
    </row>
    <row r="32" spans="2:7" x14ac:dyDescent="0.25">
      <c r="B32" s="26" t="s">
        <v>9</v>
      </c>
      <c r="C32" s="6" t="s">
        <v>0</v>
      </c>
      <c r="D32" s="3" t="s">
        <v>1</v>
      </c>
      <c r="E32" s="6" t="s">
        <v>3</v>
      </c>
      <c r="F32" s="6" t="s">
        <v>8</v>
      </c>
      <c r="G32" s="23" t="s">
        <v>2</v>
      </c>
    </row>
    <row r="33" spans="2:7" x14ac:dyDescent="0.25">
      <c r="C33" s="3"/>
    </row>
    <row r="34" spans="2:7" x14ac:dyDescent="0.25">
      <c r="B34" s="27" t="str">
        <f>'Code caisse'!$B$8</f>
        <v>Clous d'oreilles</v>
      </c>
      <c r="C34" s="28" t="str">
        <f xml:space="preserve"> "Code caisse :"</f>
        <v>Code caisse :</v>
      </c>
      <c r="D34" s="4">
        <f>'Code caisse'!$A$8</f>
        <v>6</v>
      </c>
    </row>
    <row r="35" spans="2:7" x14ac:dyDescent="0.25">
      <c r="B35" s="26" t="s">
        <v>9</v>
      </c>
      <c r="C35" s="6" t="s">
        <v>0</v>
      </c>
      <c r="D35" s="3" t="s">
        <v>1</v>
      </c>
      <c r="E35" s="6" t="s">
        <v>3</v>
      </c>
      <c r="F35" s="6" t="s">
        <v>8</v>
      </c>
      <c r="G35" s="23" t="s">
        <v>2</v>
      </c>
    </row>
    <row r="37" spans="2:7" x14ac:dyDescent="0.25">
      <c r="B37" s="27" t="str">
        <f>'Code caisse'!$B$9</f>
        <v>Piercings</v>
      </c>
      <c r="C37" s="28" t="str">
        <f xml:space="preserve"> "Code caisse :"</f>
        <v>Code caisse :</v>
      </c>
      <c r="D37" s="4">
        <f>'Code caisse'!$A$9</f>
        <v>7</v>
      </c>
    </row>
    <row r="38" spans="2:7" x14ac:dyDescent="0.25">
      <c r="B38" s="26" t="s">
        <v>9</v>
      </c>
      <c r="C38" s="6" t="s">
        <v>0</v>
      </c>
      <c r="D38" s="3" t="s">
        <v>1</v>
      </c>
      <c r="E38" s="6" t="s">
        <v>3</v>
      </c>
      <c r="F38" s="6" t="s">
        <v>8</v>
      </c>
      <c r="G38" s="23" t="s">
        <v>2</v>
      </c>
    </row>
    <row r="40" spans="2:7" x14ac:dyDescent="0.25">
      <c r="B40" s="27" t="str">
        <f>'Code caisse'!$B$10</f>
        <v>Chainettes chevilles</v>
      </c>
      <c r="C40" s="28" t="str">
        <f xml:space="preserve"> "Code caisse :"</f>
        <v>Code caisse :</v>
      </c>
      <c r="D40" s="4">
        <f>'Code caisse'!$A$10</f>
        <v>8</v>
      </c>
    </row>
    <row r="41" spans="2:7" x14ac:dyDescent="0.25">
      <c r="B41" s="26" t="s">
        <v>9</v>
      </c>
      <c r="C41" s="6" t="s">
        <v>0</v>
      </c>
      <c r="D41" s="3" t="s">
        <v>1</v>
      </c>
      <c r="E41" s="6" t="s">
        <v>3</v>
      </c>
      <c r="F41" s="6" t="s">
        <v>8</v>
      </c>
      <c r="G41" s="23" t="s">
        <v>2</v>
      </c>
    </row>
    <row r="43" spans="2:7" x14ac:dyDescent="0.25">
      <c r="B43" s="27" t="str">
        <f>'Code caisse'!$B$11</f>
        <v>Bijoux de sac</v>
      </c>
      <c r="C43" s="28" t="str">
        <f xml:space="preserve"> "Code caisse :"</f>
        <v>Code caisse :</v>
      </c>
      <c r="D43" s="4">
        <f>'Code caisse'!$A$11</f>
        <v>9</v>
      </c>
    </row>
    <row r="44" spans="2:7" x14ac:dyDescent="0.25">
      <c r="B44" s="26" t="s">
        <v>9</v>
      </c>
      <c r="C44" s="6" t="s">
        <v>0</v>
      </c>
      <c r="D44" s="3" t="s">
        <v>1</v>
      </c>
      <c r="E44" s="6" t="s">
        <v>3</v>
      </c>
      <c r="F44" s="6" t="s">
        <v>8</v>
      </c>
      <c r="G44" s="23" t="s">
        <v>2</v>
      </c>
    </row>
    <row r="46" spans="2:7" x14ac:dyDescent="0.25">
      <c r="B46" s="27" t="str">
        <f>'Code caisse'!$B$12</f>
        <v>Vernis</v>
      </c>
      <c r="C46" s="28" t="str">
        <f xml:space="preserve"> "Code caisse :"</f>
        <v>Code caisse :</v>
      </c>
      <c r="D46" s="4">
        <f>'Code caisse'!$A$12</f>
        <v>10</v>
      </c>
    </row>
    <row r="47" spans="2:7" x14ac:dyDescent="0.25">
      <c r="B47" s="26" t="s">
        <v>9</v>
      </c>
      <c r="C47" s="6" t="s">
        <v>0</v>
      </c>
      <c r="D47" s="3" t="s">
        <v>1</v>
      </c>
      <c r="E47" s="6" t="s">
        <v>3</v>
      </c>
      <c r="F47" s="6" t="s">
        <v>8</v>
      </c>
      <c r="G47" s="23" t="s">
        <v>2</v>
      </c>
    </row>
    <row r="49" spans="2:7" x14ac:dyDescent="0.25">
      <c r="B49" s="27" t="str">
        <f>'Code caisse'!$B$13</f>
        <v>Accessoires Ongles</v>
      </c>
      <c r="C49" s="28" t="str">
        <f xml:space="preserve"> "Code caisse :"</f>
        <v>Code caisse :</v>
      </c>
      <c r="D49" s="4">
        <f>'Code caisse'!$A$13</f>
        <v>11</v>
      </c>
    </row>
    <row r="50" spans="2:7" x14ac:dyDescent="0.25">
      <c r="B50" s="26" t="s">
        <v>9</v>
      </c>
      <c r="C50" s="6" t="s">
        <v>0</v>
      </c>
      <c r="D50" s="3" t="s">
        <v>1</v>
      </c>
      <c r="E50" s="6" t="s">
        <v>3</v>
      </c>
      <c r="F50" s="6" t="s">
        <v>8</v>
      </c>
      <c r="G50" s="23" t="s">
        <v>2</v>
      </c>
    </row>
    <row r="52" spans="2:7" x14ac:dyDescent="0.25">
      <c r="B52" s="27" t="str">
        <f>'Code caisse'!$B$14</f>
        <v xml:space="preserve">Tatoos </v>
      </c>
      <c r="C52" s="28" t="str">
        <f xml:space="preserve"> "Code caisse :"</f>
        <v>Code caisse :</v>
      </c>
      <c r="D52" s="4">
        <f>'Code caisse'!$A$14</f>
        <v>12</v>
      </c>
    </row>
    <row r="53" spans="2:7" x14ac:dyDescent="0.25">
      <c r="B53" s="26" t="s">
        <v>9</v>
      </c>
      <c r="C53" s="6" t="s">
        <v>0</v>
      </c>
      <c r="D53" s="3" t="s">
        <v>1</v>
      </c>
      <c r="E53" s="6" t="s">
        <v>3</v>
      </c>
      <c r="F53" s="6" t="s">
        <v>8</v>
      </c>
      <c r="G53" s="23" t="s">
        <v>2</v>
      </c>
    </row>
    <row r="55" spans="2:7" x14ac:dyDescent="0.25">
      <c r="B55" s="27" t="str">
        <f>'Code caisse'!$B$15</f>
        <v>Accessoires Tatoos</v>
      </c>
      <c r="C55" s="28" t="str">
        <f xml:space="preserve"> "Code caisse :"</f>
        <v>Code caisse :</v>
      </c>
      <c r="D55" s="4">
        <f>'Code caisse'!$A$15</f>
        <v>13</v>
      </c>
    </row>
    <row r="56" spans="2:7" x14ac:dyDescent="0.25">
      <c r="B56" s="26" t="s">
        <v>9</v>
      </c>
      <c r="C56" s="6" t="s">
        <v>0</v>
      </c>
      <c r="D56" s="3" t="s">
        <v>1</v>
      </c>
      <c r="E56" s="6" t="s">
        <v>3</v>
      </c>
      <c r="F56" s="6" t="s">
        <v>8</v>
      </c>
      <c r="G56" s="23" t="s">
        <v>2</v>
      </c>
    </row>
    <row r="58" spans="2:7" x14ac:dyDescent="0.25">
      <c r="B58" s="27" t="str">
        <f>'Code caisse'!$B$16</f>
        <v>Cadeaux</v>
      </c>
      <c r="C58" s="28" t="str">
        <f xml:space="preserve"> "Code caisse :"</f>
        <v>Code caisse :</v>
      </c>
      <c r="D58" s="4">
        <f>'Code caisse'!$A$16</f>
        <v>14</v>
      </c>
    </row>
    <row r="59" spans="2:7" x14ac:dyDescent="0.25">
      <c r="B59" s="26" t="s">
        <v>9</v>
      </c>
      <c r="C59" s="6" t="s">
        <v>0</v>
      </c>
      <c r="D59" s="3" t="s">
        <v>1</v>
      </c>
      <c r="E59" s="6" t="s">
        <v>3</v>
      </c>
      <c r="F59" s="6" t="s">
        <v>8</v>
      </c>
      <c r="G59" s="23" t="s">
        <v>2</v>
      </c>
    </row>
    <row r="61" spans="2:7" x14ac:dyDescent="0.25">
      <c r="B61" s="27" t="str">
        <f>'Code caisse'!$B$17</f>
        <v>Coques de téléphones</v>
      </c>
      <c r="C61" s="28" t="str">
        <f xml:space="preserve"> "Code caisse :"</f>
        <v>Code caisse :</v>
      </c>
      <c r="D61" s="4">
        <f>'Code caisse'!$A$17</f>
        <v>15</v>
      </c>
    </row>
    <row r="62" spans="2:7" x14ac:dyDescent="0.25">
      <c r="B62" s="26" t="s">
        <v>9</v>
      </c>
      <c r="C62" s="6" t="s">
        <v>0</v>
      </c>
      <c r="D62" s="3" t="s">
        <v>1</v>
      </c>
      <c r="E62" s="6" t="s">
        <v>3</v>
      </c>
      <c r="F62" s="6" t="s">
        <v>8</v>
      </c>
      <c r="G62" s="23" t="s">
        <v>2</v>
      </c>
    </row>
    <row r="64" spans="2:7" x14ac:dyDescent="0.25">
      <c r="B64" s="27" t="str">
        <f>'Code caisse'!$B$18</f>
        <v>Bagues</v>
      </c>
      <c r="C64" s="28" t="str">
        <f xml:space="preserve"> "Code caisse :"</f>
        <v>Code caisse :</v>
      </c>
      <c r="D64" s="4">
        <f>'Code caisse'!$A$18</f>
        <v>16</v>
      </c>
    </row>
    <row r="65" spans="2:7" x14ac:dyDescent="0.25">
      <c r="B65" s="26" t="s">
        <v>9</v>
      </c>
      <c r="C65" s="6" t="s">
        <v>0</v>
      </c>
      <c r="D65" s="3" t="s">
        <v>1</v>
      </c>
      <c r="E65" s="6" t="s">
        <v>3</v>
      </c>
      <c r="F65" s="6" t="s">
        <v>8</v>
      </c>
      <c r="G65" s="23" t="s">
        <v>2</v>
      </c>
    </row>
    <row r="67" spans="2:7" x14ac:dyDescent="0.25">
      <c r="B67" s="27" t="str">
        <f>'Code caisse'!$B$19</f>
        <v>Echarpes bijoux</v>
      </c>
      <c r="C67" s="28" t="str">
        <f xml:space="preserve"> "Code caisse :"</f>
        <v>Code caisse :</v>
      </c>
      <c r="D67" s="4">
        <f>'Code caisse'!$A$19</f>
        <v>17</v>
      </c>
    </row>
    <row r="68" spans="2:7" x14ac:dyDescent="0.25">
      <c r="B68" s="26" t="s">
        <v>9</v>
      </c>
      <c r="C68" s="6" t="s">
        <v>0</v>
      </c>
      <c r="D68" s="3" t="s">
        <v>1</v>
      </c>
      <c r="E68" s="6" t="s">
        <v>3</v>
      </c>
      <c r="F68" s="6" t="s">
        <v>8</v>
      </c>
      <c r="G68" s="23" t="s">
        <v>2</v>
      </c>
    </row>
    <row r="70" spans="2:7" x14ac:dyDescent="0.25">
      <c r="B70" s="27" t="str">
        <f>'Code caisse'!$B$20</f>
        <v>Cartes cadeaux</v>
      </c>
      <c r="C70" s="28" t="str">
        <f xml:space="preserve"> "Code caisse :"</f>
        <v>Code caisse :</v>
      </c>
      <c r="D70" s="4">
        <f>'Code caisse'!$A$20</f>
        <v>18</v>
      </c>
    </row>
    <row r="71" spans="2:7" x14ac:dyDescent="0.25">
      <c r="B71" s="26" t="s">
        <v>9</v>
      </c>
      <c r="C71" s="6" t="s">
        <v>0</v>
      </c>
      <c r="D71" s="3" t="s">
        <v>1</v>
      </c>
      <c r="E71" s="6" t="s">
        <v>3</v>
      </c>
      <c r="F71" s="6" t="s">
        <v>8</v>
      </c>
      <c r="G71" s="23" t="s">
        <v>2</v>
      </c>
    </row>
    <row r="73" spans="2:7" x14ac:dyDescent="0.25">
      <c r="B73" s="27" t="str">
        <f>'Code caisse'!$B$21</f>
        <v>Cosmétiques</v>
      </c>
      <c r="C73" s="28" t="str">
        <f xml:space="preserve"> "Code caisse :"</f>
        <v>Code caisse :</v>
      </c>
      <c r="D73" s="4">
        <f>'Code caisse'!$A$21</f>
        <v>19</v>
      </c>
    </row>
    <row r="74" spans="2:7" x14ac:dyDescent="0.25">
      <c r="B74" s="26" t="s">
        <v>9</v>
      </c>
      <c r="C74" s="6" t="s">
        <v>0</v>
      </c>
      <c r="D74" s="3" t="s">
        <v>1</v>
      </c>
      <c r="E74" s="6" t="s">
        <v>3</v>
      </c>
      <c r="F74" s="6" t="s">
        <v>8</v>
      </c>
      <c r="G74" s="23" t="s">
        <v>2</v>
      </c>
    </row>
    <row r="76" spans="2:7" x14ac:dyDescent="0.25">
      <c r="B76" s="27" t="s">
        <v>174</v>
      </c>
      <c r="C76" s="28" t="str">
        <f xml:space="preserve"> "Code caisse :"</f>
        <v>Code caisse :</v>
      </c>
      <c r="D76" s="4">
        <v>20</v>
      </c>
    </row>
    <row r="77" spans="2:7" x14ac:dyDescent="0.25">
      <c r="B77" s="26" t="s">
        <v>9</v>
      </c>
      <c r="C77" s="6" t="s">
        <v>0</v>
      </c>
      <c r="D77" s="3" t="s">
        <v>1</v>
      </c>
      <c r="E77" s="6" t="s">
        <v>3</v>
      </c>
      <c r="F77" s="6" t="s">
        <v>8</v>
      </c>
      <c r="G77" s="23" t="s">
        <v>2</v>
      </c>
    </row>
    <row r="78" spans="2:7" x14ac:dyDescent="0.25">
      <c r="B78" s="26">
        <v>20</v>
      </c>
      <c r="C78" s="6" t="str">
        <f>"MON"&amp;TEXT(ROW(B1),"000")</f>
        <v>MON001</v>
      </c>
      <c r="D78" s="3" t="s">
        <v>175</v>
      </c>
      <c r="E78" s="6" t="s">
        <v>167</v>
      </c>
      <c r="F78" s="6" t="s">
        <v>176</v>
      </c>
      <c r="G78" s="23">
        <v>7.8</v>
      </c>
    </row>
    <row r="79" spans="2:7" x14ac:dyDescent="0.25">
      <c r="B79" s="26">
        <v>20</v>
      </c>
      <c r="C79" s="6" t="str">
        <f>"MON"&amp;TEXT(ROW(B2),"000")</f>
        <v>MON002</v>
      </c>
      <c r="D79" s="3" t="s">
        <v>178</v>
      </c>
      <c r="E79" s="6" t="s">
        <v>165</v>
      </c>
      <c r="G79" s="23">
        <v>11</v>
      </c>
    </row>
  </sheetData>
  <sheetProtection sheet="1" objects="1" scenarios="1"/>
  <mergeCells count="1">
    <mergeCell ref="E7:F7"/>
  </mergeCells>
  <pageMargins left="0.7" right="0.7" top="0.75" bottom="0.75" header="0.3" footer="0.3"/>
  <pageSetup paperSize="9" orientation="portrait" r:id="rId1"/>
  <drawing r:id="rId2"/>
  <tableParts count="2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C1:G21"/>
  <sheetViews>
    <sheetView showGridLines="0" workbookViewId="0">
      <selection activeCell="G10" sqref="G10"/>
    </sheetView>
  </sheetViews>
  <sheetFormatPr baseColWidth="10" defaultRowHeight="15" x14ac:dyDescent="0.25"/>
  <cols>
    <col min="1" max="2" width="11.42578125" style="6"/>
    <col min="3" max="3" width="12.7109375" style="6" customWidth="1"/>
    <col min="4" max="4" width="25.85546875" style="6" customWidth="1"/>
    <col min="5" max="5" width="35" style="6" customWidth="1"/>
    <col min="6" max="6" width="27.5703125" style="6" customWidth="1"/>
    <col min="7" max="7" width="32.140625" style="6" customWidth="1"/>
    <col min="8" max="10" width="11.5703125" style="6" customWidth="1"/>
    <col min="11" max="16384" width="11.42578125" style="6"/>
  </cols>
  <sheetData>
    <row r="1" spans="3:7" x14ac:dyDescent="0.25">
      <c r="D1" s="6" t="s">
        <v>71</v>
      </c>
      <c r="E1" s="6" t="s">
        <v>72</v>
      </c>
      <c r="F1" s="6" t="s">
        <v>71</v>
      </c>
    </row>
    <row r="8" spans="3:7" ht="23.25" x14ac:dyDescent="0.25">
      <c r="F8" s="92" t="s">
        <v>31</v>
      </c>
      <c r="G8" s="92"/>
    </row>
    <row r="16" spans="3:7" x14ac:dyDescent="0.25">
      <c r="C16" s="6" t="s">
        <v>5</v>
      </c>
      <c r="D16" s="6" t="s">
        <v>1</v>
      </c>
      <c r="E16" s="6" t="s">
        <v>32</v>
      </c>
      <c r="F16" s="6" t="s">
        <v>33</v>
      </c>
      <c r="G16" s="6" t="s">
        <v>51</v>
      </c>
    </row>
    <row r="17" spans="3:7" x14ac:dyDescent="0.25">
      <c r="C17" s="3" t="str">
        <f>"FOUR"&amp;TEXT(ROW(C1),"000")</f>
        <v>FOUR001</v>
      </c>
      <c r="D17" s="6" t="s">
        <v>124</v>
      </c>
      <c r="E17" s="6" t="s">
        <v>135</v>
      </c>
      <c r="F17" s="6">
        <v>102030405</v>
      </c>
      <c r="G17" s="6" t="s">
        <v>136</v>
      </c>
    </row>
    <row r="18" spans="3:7" x14ac:dyDescent="0.25">
      <c r="C18" s="3" t="str">
        <f>"FOUR"&amp;TEXT(ROW(C2),"000")</f>
        <v>FOUR002</v>
      </c>
      <c r="D18" s="6" t="s">
        <v>167</v>
      </c>
      <c r="F18" s="6" t="s">
        <v>137</v>
      </c>
      <c r="G18" s="6" t="s">
        <v>138</v>
      </c>
    </row>
    <row r="19" spans="3:7" x14ac:dyDescent="0.25">
      <c r="C19" s="3" t="str">
        <f>"FOUR"&amp;TEXT(ROW(C3),"000")</f>
        <v>FOUR003</v>
      </c>
      <c r="D19" s="6" t="s">
        <v>139</v>
      </c>
      <c r="E19" s="6" t="s">
        <v>140</v>
      </c>
      <c r="G19" s="6" t="s">
        <v>141</v>
      </c>
    </row>
    <row r="20" spans="3:7" x14ac:dyDescent="0.25">
      <c r="C20" s="3" t="str">
        <f>"FOUR"&amp;TEXT(ROW(C4),"000")</f>
        <v>FOUR004</v>
      </c>
      <c r="D20" s="6" t="s">
        <v>119</v>
      </c>
      <c r="F20" s="6">
        <v>789163728</v>
      </c>
      <c r="G20" s="6" t="s">
        <v>142</v>
      </c>
    </row>
    <row r="21" spans="3:7" x14ac:dyDescent="0.25">
      <c r="C21" s="3" t="str">
        <f>"FOUR"&amp;TEXT(ROW(C5),"000")</f>
        <v>FOUR005</v>
      </c>
      <c r="D21" s="6" t="s">
        <v>165</v>
      </c>
      <c r="F21" s="6">
        <v>789877665</v>
      </c>
      <c r="G21" s="6" t="s">
        <v>166</v>
      </c>
    </row>
  </sheetData>
  <sheetProtection sheet="1" objects="1" scenarios="1"/>
  <mergeCells count="1">
    <mergeCell ref="F8:G8"/>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E2:L12"/>
  <sheetViews>
    <sheetView showGridLines="0" workbookViewId="0"/>
  </sheetViews>
  <sheetFormatPr baseColWidth="10" defaultRowHeight="15" x14ac:dyDescent="0.25"/>
  <cols>
    <col min="2" max="2" width="19.5703125" bestFit="1" customWidth="1"/>
    <col min="3" max="3" width="32.85546875" customWidth="1"/>
    <col min="4" max="4" width="12" bestFit="1" customWidth="1"/>
    <col min="5" max="5" width="16.7109375" customWidth="1"/>
    <col min="6" max="6" width="16.28515625" customWidth="1"/>
    <col min="7" max="7" width="27.7109375" bestFit="1" customWidth="1"/>
    <col min="8" max="10" width="11.5703125" customWidth="1"/>
    <col min="11" max="11" width="12.5703125" customWidth="1"/>
  </cols>
  <sheetData>
    <row r="2" spans="5:12" x14ac:dyDescent="0.25">
      <c r="I2" s="93"/>
      <c r="J2" s="93"/>
      <c r="K2" s="93"/>
      <c r="L2" s="93"/>
    </row>
    <row r="3" spans="5:12" x14ac:dyDescent="0.25">
      <c r="I3" s="93"/>
      <c r="J3" s="93"/>
      <c r="K3" s="93"/>
      <c r="L3" s="93"/>
    </row>
    <row r="8" spans="5:12" ht="23.25" x14ac:dyDescent="0.35">
      <c r="F8" s="2" t="s">
        <v>40</v>
      </c>
    </row>
    <row r="12" spans="5:12" x14ac:dyDescent="0.25">
      <c r="E12" s="1"/>
    </row>
  </sheetData>
  <sheetProtection sheet="1" objects="1" scenarios="1"/>
  <mergeCells count="1">
    <mergeCell ref="I2:L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9:J32"/>
  <sheetViews>
    <sheetView showGridLines="0" topLeftCell="A12" workbookViewId="0">
      <selection activeCell="A32" sqref="A32"/>
    </sheetView>
  </sheetViews>
  <sheetFormatPr baseColWidth="10" defaultRowHeight="15" x14ac:dyDescent="0.25"/>
  <cols>
    <col min="2" max="2" width="11.5703125" style="29" customWidth="1"/>
    <col min="3" max="3" width="10.5703125" style="18" customWidth="1"/>
    <col min="4" max="4" width="11.85546875" style="6" customWidth="1"/>
    <col min="5" max="5" width="39.140625" style="6" customWidth="1"/>
    <col min="6" max="6" width="17.7109375" style="6" customWidth="1"/>
    <col min="7" max="7" width="13.42578125" style="23" bestFit="1" customWidth="1"/>
    <col min="8" max="8" width="14.42578125" style="23" customWidth="1"/>
    <col min="9" max="9" width="13.85546875" style="23" customWidth="1"/>
    <col min="10" max="10" width="37" customWidth="1"/>
  </cols>
  <sheetData>
    <row r="9" spans="6:7" ht="23.25" customHeight="1" x14ac:dyDescent="0.35">
      <c r="F9" s="94" t="s">
        <v>47</v>
      </c>
      <c r="G9" s="94"/>
    </row>
    <row r="19" spans="2:10" ht="30" x14ac:dyDescent="0.25">
      <c r="B19" s="30" t="s">
        <v>7</v>
      </c>
      <c r="C19" s="18" t="s">
        <v>9</v>
      </c>
      <c r="D19" s="18" t="s">
        <v>0</v>
      </c>
      <c r="E19" s="18" t="s">
        <v>1</v>
      </c>
      <c r="F19" s="18" t="s">
        <v>8</v>
      </c>
      <c r="G19" s="18" t="s">
        <v>6</v>
      </c>
      <c r="H19" s="21" t="s">
        <v>50</v>
      </c>
      <c r="I19" s="21" t="s">
        <v>52</v>
      </c>
      <c r="J19" s="18" t="s">
        <v>51</v>
      </c>
    </row>
    <row r="20" spans="2:10" x14ac:dyDescent="0.25">
      <c r="B20" s="20">
        <v>41365</v>
      </c>
      <c r="C20" s="18">
        <v>1</v>
      </c>
      <c r="D20" s="19" t="s">
        <v>143</v>
      </c>
      <c r="E20" s="19" t="s">
        <v>118</v>
      </c>
      <c r="F20" s="19" t="s">
        <v>120</v>
      </c>
      <c r="G20" s="19">
        <v>200</v>
      </c>
      <c r="H20" s="22">
        <v>0.08</v>
      </c>
      <c r="I20" s="22">
        <v>0.11</v>
      </c>
      <c r="J20" s="19" t="s">
        <v>144</v>
      </c>
    </row>
    <row r="21" spans="2:10" x14ac:dyDescent="0.25">
      <c r="B21" s="20">
        <v>41365</v>
      </c>
      <c r="C21" s="18">
        <v>2</v>
      </c>
      <c r="D21" s="19" t="s">
        <v>53</v>
      </c>
      <c r="E21" s="19" t="s">
        <v>126</v>
      </c>
      <c r="F21" s="19" t="s">
        <v>128</v>
      </c>
      <c r="G21" s="19">
        <v>5</v>
      </c>
      <c r="H21" s="22">
        <v>3</v>
      </c>
      <c r="I21" s="22">
        <v>12</v>
      </c>
      <c r="J21" s="19" t="s">
        <v>145</v>
      </c>
    </row>
    <row r="22" spans="2:10" x14ac:dyDescent="0.25">
      <c r="B22" s="20">
        <v>41365</v>
      </c>
      <c r="C22" s="18">
        <v>3</v>
      </c>
      <c r="D22" s="19" t="s">
        <v>54</v>
      </c>
      <c r="E22" s="19" t="s">
        <v>131</v>
      </c>
      <c r="F22" s="19" t="s">
        <v>132</v>
      </c>
      <c r="G22" s="19">
        <v>1</v>
      </c>
      <c r="H22" s="22">
        <v>1</v>
      </c>
      <c r="I22" s="22">
        <v>10.5</v>
      </c>
      <c r="J22" s="19" t="s">
        <v>146</v>
      </c>
    </row>
    <row r="23" spans="2:10" x14ac:dyDescent="0.25">
      <c r="B23" s="20">
        <v>41366</v>
      </c>
      <c r="C23" s="18">
        <v>1</v>
      </c>
      <c r="D23" s="19" t="s">
        <v>143</v>
      </c>
      <c r="E23" s="19" t="s">
        <v>118</v>
      </c>
      <c r="F23" s="19" t="s">
        <v>120</v>
      </c>
      <c r="G23" s="19">
        <v>3</v>
      </c>
      <c r="H23" s="22">
        <v>7.0000000000000007E-2</v>
      </c>
      <c r="I23" s="22">
        <v>0.11</v>
      </c>
      <c r="J23" s="19"/>
    </row>
    <row r="24" spans="2:10" x14ac:dyDescent="0.25">
      <c r="B24" s="20">
        <v>41255</v>
      </c>
      <c r="C24" s="18">
        <v>4</v>
      </c>
      <c r="D24" s="19" t="s">
        <v>149</v>
      </c>
      <c r="E24" s="19" t="s">
        <v>133</v>
      </c>
      <c r="F24" s="19" t="s">
        <v>134</v>
      </c>
      <c r="G24" s="19">
        <v>2</v>
      </c>
      <c r="H24" s="22">
        <v>10</v>
      </c>
      <c r="I24" s="22">
        <v>40</v>
      </c>
      <c r="J24" s="19"/>
    </row>
    <row r="25" spans="2:10" x14ac:dyDescent="0.25">
      <c r="B25" s="20">
        <v>41255</v>
      </c>
      <c r="C25" s="18">
        <v>4</v>
      </c>
      <c r="D25" s="19" t="s">
        <v>149</v>
      </c>
      <c r="E25" s="19" t="s">
        <v>133</v>
      </c>
      <c r="F25" s="19" t="s">
        <v>134</v>
      </c>
      <c r="G25" s="19">
        <v>9</v>
      </c>
      <c r="H25" s="22">
        <v>40</v>
      </c>
      <c r="I25" s="22">
        <v>40</v>
      </c>
      <c r="J25" s="19"/>
    </row>
    <row r="26" spans="2:10" x14ac:dyDescent="0.25">
      <c r="B26" s="20">
        <v>41393</v>
      </c>
      <c r="C26" s="18">
        <v>2</v>
      </c>
      <c r="D26" s="19" t="s">
        <v>168</v>
      </c>
      <c r="E26" s="19" t="s">
        <v>162</v>
      </c>
      <c r="F26" s="19" t="s">
        <v>163</v>
      </c>
      <c r="G26" s="19">
        <v>3</v>
      </c>
      <c r="H26" s="22">
        <v>5</v>
      </c>
      <c r="I26" s="22">
        <v>10</v>
      </c>
      <c r="J26" s="19"/>
    </row>
    <row r="27" spans="2:10" x14ac:dyDescent="0.25">
      <c r="B27" s="100">
        <v>41255</v>
      </c>
      <c r="C27" s="18">
        <v>20</v>
      </c>
      <c r="D27" s="19" t="s">
        <v>177</v>
      </c>
      <c r="E27" s="19" t="s">
        <v>175</v>
      </c>
      <c r="F27" s="19" t="s">
        <v>176</v>
      </c>
      <c r="G27" s="19">
        <v>2</v>
      </c>
      <c r="H27" s="22">
        <v>4</v>
      </c>
      <c r="I27" s="22">
        <v>7.8</v>
      </c>
      <c r="J27" s="19"/>
    </row>
    <row r="28" spans="2:10" x14ac:dyDescent="0.25">
      <c r="B28" s="100">
        <v>41255</v>
      </c>
      <c r="C28" s="18">
        <v>20</v>
      </c>
      <c r="D28" s="19" t="s">
        <v>177</v>
      </c>
      <c r="E28" s="19" t="s">
        <v>175</v>
      </c>
      <c r="F28" s="19" t="s">
        <v>176</v>
      </c>
      <c r="G28" s="19">
        <v>1</v>
      </c>
      <c r="H28" s="22">
        <v>3</v>
      </c>
      <c r="I28" s="22">
        <v>7.8</v>
      </c>
      <c r="J28" s="19"/>
    </row>
    <row r="29" spans="2:10" x14ac:dyDescent="0.25">
      <c r="B29" s="100">
        <v>41255</v>
      </c>
      <c r="C29" s="18">
        <v>20</v>
      </c>
      <c r="D29" s="19" t="s">
        <v>179</v>
      </c>
      <c r="E29" s="19" t="s">
        <v>178</v>
      </c>
      <c r="F29" s="19"/>
      <c r="G29" s="19">
        <v>1</v>
      </c>
      <c r="H29" s="22">
        <v>3</v>
      </c>
      <c r="I29" s="22">
        <v>10</v>
      </c>
      <c r="J29" s="19"/>
    </row>
    <row r="30" spans="2:10" x14ac:dyDescent="0.25">
      <c r="B30" s="100">
        <v>41255</v>
      </c>
      <c r="C30" s="18">
        <v>20</v>
      </c>
      <c r="D30" s="19" t="s">
        <v>179</v>
      </c>
      <c r="E30" s="19" t="s">
        <v>178</v>
      </c>
      <c r="F30" s="19"/>
      <c r="G30" s="19">
        <v>1</v>
      </c>
      <c r="H30" s="22">
        <v>3.8</v>
      </c>
      <c r="I30" s="22">
        <v>11</v>
      </c>
      <c r="J30" s="19"/>
    </row>
    <row r="31" spans="2:10" x14ac:dyDescent="0.25">
      <c r="B31" s="100">
        <v>41255</v>
      </c>
      <c r="C31" s="18">
        <v>20</v>
      </c>
      <c r="D31" s="19" t="s">
        <v>177</v>
      </c>
      <c r="E31" s="19" t="s">
        <v>175</v>
      </c>
      <c r="F31" s="19" t="s">
        <v>176</v>
      </c>
      <c r="G31" s="19">
        <v>2</v>
      </c>
      <c r="H31" s="22">
        <v>2</v>
      </c>
      <c r="I31" s="22">
        <v>7.8</v>
      </c>
      <c r="J31" s="19"/>
    </row>
    <row r="32" spans="2:10" x14ac:dyDescent="0.25">
      <c r="B32" s="100">
        <v>41255</v>
      </c>
      <c r="C32" s="18">
        <v>20</v>
      </c>
      <c r="D32" s="19" t="s">
        <v>177</v>
      </c>
      <c r="E32" s="19" t="s">
        <v>175</v>
      </c>
      <c r="F32" s="19" t="s">
        <v>176</v>
      </c>
      <c r="G32" s="19">
        <v>1</v>
      </c>
      <c r="H32" s="22">
        <v>2</v>
      </c>
      <c r="I32" s="22">
        <v>7.8</v>
      </c>
      <c r="J32" s="19"/>
    </row>
  </sheetData>
  <sheetProtection sheet="1" objects="1" scenarios="1"/>
  <mergeCells count="1">
    <mergeCell ref="F9:G9"/>
  </mergeCells>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8:O30"/>
  <sheetViews>
    <sheetView showGridLines="0" workbookViewId="0"/>
  </sheetViews>
  <sheetFormatPr baseColWidth="10" defaultRowHeight="15" x14ac:dyDescent="0.25"/>
  <cols>
    <col min="1" max="1" width="11.42578125" style="6"/>
    <col min="2" max="2" width="12.5703125" style="6" customWidth="1"/>
    <col min="3" max="3" width="18.28515625" style="18" customWidth="1"/>
    <col min="4" max="4" width="10.85546875" style="18" customWidth="1"/>
    <col min="5" max="5" width="12.42578125" style="6" customWidth="1"/>
    <col min="6" max="6" width="37.7109375" style="6" customWidth="1"/>
    <col min="7" max="7" width="12.7109375" style="6" customWidth="1"/>
    <col min="8" max="8" width="12.5703125" style="6" bestFit="1" customWidth="1"/>
    <col min="9" max="9" width="13" style="23" customWidth="1"/>
    <col min="10" max="10" width="10.140625" style="6" customWidth="1"/>
    <col min="11" max="11" width="14.28515625" style="23" customWidth="1"/>
    <col min="12" max="12" width="19.85546875" style="6" bestFit="1" customWidth="1"/>
    <col min="13" max="13" width="26.7109375" style="6" customWidth="1"/>
    <col min="14" max="14" width="14.5703125" style="35" bestFit="1" customWidth="1"/>
    <col min="15" max="16384" width="11.42578125" style="6"/>
  </cols>
  <sheetData>
    <row r="8" spans="7:9" ht="23.25" x14ac:dyDescent="0.35">
      <c r="G8" s="95" t="s">
        <v>48</v>
      </c>
      <c r="H8" s="95"/>
      <c r="I8" s="95"/>
    </row>
    <row r="17" spans="2:15" ht="30" x14ac:dyDescent="0.25">
      <c r="B17" s="18" t="s">
        <v>7</v>
      </c>
      <c r="C17" s="18" t="s">
        <v>56</v>
      </c>
      <c r="D17" s="18" t="s">
        <v>9</v>
      </c>
      <c r="E17" s="18" t="s">
        <v>0</v>
      </c>
      <c r="F17" s="18" t="s">
        <v>1</v>
      </c>
      <c r="G17" s="18" t="s">
        <v>8</v>
      </c>
      <c r="H17" s="18" t="s">
        <v>6</v>
      </c>
      <c r="I17" s="21" t="s">
        <v>52</v>
      </c>
      <c r="J17" s="21" t="s">
        <v>57</v>
      </c>
      <c r="K17" s="21" t="s">
        <v>4</v>
      </c>
      <c r="L17" s="21" t="s">
        <v>55</v>
      </c>
      <c r="M17" s="18" t="s">
        <v>51</v>
      </c>
      <c r="N17" s="36" t="s">
        <v>117</v>
      </c>
      <c r="O17" s="36" t="s">
        <v>153</v>
      </c>
    </row>
    <row r="18" spans="2:15" x14ac:dyDescent="0.25">
      <c r="B18" s="20">
        <v>41278</v>
      </c>
      <c r="C18" s="18" t="s">
        <v>65</v>
      </c>
      <c r="D18" s="18">
        <v>3</v>
      </c>
      <c r="E18" s="19" t="s">
        <v>54</v>
      </c>
      <c r="F18" s="19" t="s">
        <v>131</v>
      </c>
      <c r="G18" s="19" t="s">
        <v>132</v>
      </c>
      <c r="H18" s="19">
        <v>1</v>
      </c>
      <c r="I18" s="22">
        <v>11</v>
      </c>
      <c r="J18" s="22" t="s">
        <v>59</v>
      </c>
      <c r="K18" s="22">
        <f>ventes[[#This Row],[Quantité]]*ventes[[#This Row],[Prix de vente unitaire]]</f>
        <v>11</v>
      </c>
      <c r="L18" s="22" t="s">
        <v>60</v>
      </c>
      <c r="M18" s="19"/>
      <c r="N18" s="37" t="str">
        <f>TEXT(30*MONTH(ventes[[#This Row],[Date]]), "mmmm")</f>
        <v>janvier</v>
      </c>
      <c r="O18" s="37" t="str">
        <f>TEXT(ventes[[#This Row],[Date]],"AAAA")</f>
        <v>2013</v>
      </c>
    </row>
    <row r="19" spans="2:15" x14ac:dyDescent="0.25">
      <c r="B19" s="20">
        <v>41337</v>
      </c>
      <c r="C19" s="18" t="s">
        <v>58</v>
      </c>
      <c r="D19" s="18">
        <v>1</v>
      </c>
      <c r="E19" s="19" t="s">
        <v>143</v>
      </c>
      <c r="F19" s="19" t="s">
        <v>118</v>
      </c>
      <c r="G19" s="19" t="s">
        <v>120</v>
      </c>
      <c r="H19" s="19">
        <v>23</v>
      </c>
      <c r="I19" s="22">
        <v>0.12</v>
      </c>
      <c r="J19" s="22"/>
      <c r="K19" s="22">
        <f>ventes[[#This Row],[Quantité]]*ventes[[#This Row],[Prix de vente unitaire]]</f>
        <v>2.76</v>
      </c>
      <c r="L19" s="22" t="s">
        <v>66</v>
      </c>
      <c r="M19" s="19" t="s">
        <v>147</v>
      </c>
      <c r="N19" s="37" t="str">
        <f>TEXT(30*MONTH(ventes[[#This Row],[Date]]), "mmmm")</f>
        <v>mars</v>
      </c>
      <c r="O19" s="37" t="str">
        <f>TEXT(ventes[[#This Row],[Date]],"AAAA")</f>
        <v>2013</v>
      </c>
    </row>
    <row r="20" spans="2:15" x14ac:dyDescent="0.25">
      <c r="B20" s="20">
        <v>41368</v>
      </c>
      <c r="C20" s="18" t="s">
        <v>148</v>
      </c>
      <c r="D20" s="18">
        <v>3</v>
      </c>
      <c r="E20" s="19" t="s">
        <v>54</v>
      </c>
      <c r="F20" s="19" t="s">
        <v>131</v>
      </c>
      <c r="G20" s="19" t="s">
        <v>132</v>
      </c>
      <c r="H20" s="19">
        <v>1</v>
      </c>
      <c r="I20" s="22">
        <v>10.5</v>
      </c>
      <c r="J20" s="22"/>
      <c r="K20" s="22">
        <f>ventes[[#This Row],[Quantité]]*ventes[[#This Row],[Prix de vente unitaire]]</f>
        <v>10.5</v>
      </c>
      <c r="L20" s="22" t="s">
        <v>61</v>
      </c>
      <c r="M20" s="19"/>
      <c r="N20" s="37" t="str">
        <f>TEXT(30*MONTH(ventes[[#This Row],[Date]]), "mmmm")</f>
        <v>avril</v>
      </c>
      <c r="O20" s="37" t="str">
        <f>TEXT(ventes[[#This Row],[Date]],"AAAA")</f>
        <v>2013</v>
      </c>
    </row>
    <row r="21" spans="2:15" x14ac:dyDescent="0.25">
      <c r="B21" s="20">
        <v>41368</v>
      </c>
      <c r="C21" s="18" t="s">
        <v>58</v>
      </c>
      <c r="D21" s="18">
        <v>2</v>
      </c>
      <c r="E21" s="19" t="s">
        <v>64</v>
      </c>
      <c r="F21" s="19" t="s">
        <v>129</v>
      </c>
      <c r="G21" s="19" t="s">
        <v>130</v>
      </c>
      <c r="H21" s="19">
        <v>2</v>
      </c>
      <c r="I21" s="22">
        <v>2.5</v>
      </c>
      <c r="J21" s="22"/>
      <c r="K21" s="22">
        <f>ventes[[#This Row],[Quantité]]*ventes[[#This Row],[Prix de vente unitaire]]</f>
        <v>5</v>
      </c>
      <c r="L21" s="22" t="s">
        <v>60</v>
      </c>
      <c r="M21" s="19"/>
      <c r="N21" s="37" t="str">
        <f>TEXT(30*MONTH(ventes[[#This Row],[Date]]), "mmmm")</f>
        <v>avril</v>
      </c>
      <c r="O21" s="37" t="str">
        <f>TEXT(ventes[[#This Row],[Date]],"AAAA")</f>
        <v>2013</v>
      </c>
    </row>
    <row r="22" spans="2:15" x14ac:dyDescent="0.25">
      <c r="B22" s="20">
        <v>41368</v>
      </c>
      <c r="C22" s="18" t="s">
        <v>148</v>
      </c>
      <c r="D22" s="18">
        <v>4</v>
      </c>
      <c r="E22" s="19" t="s">
        <v>149</v>
      </c>
      <c r="F22" s="19" t="s">
        <v>133</v>
      </c>
      <c r="G22" s="19" t="s">
        <v>134</v>
      </c>
      <c r="H22" s="19">
        <v>2</v>
      </c>
      <c r="I22" s="22">
        <v>30</v>
      </c>
      <c r="J22" s="22"/>
      <c r="K22" s="22">
        <f>ventes[[#This Row],[Quantité]]*ventes[[#This Row],[Prix de vente unitaire]]</f>
        <v>60</v>
      </c>
      <c r="L22" s="22" t="s">
        <v>66</v>
      </c>
      <c r="M22" s="19"/>
      <c r="N22" s="37" t="str">
        <f>TEXT(30*MONTH(ventes[[#This Row],[Date]]), "mmmm")</f>
        <v>avril</v>
      </c>
      <c r="O22" s="37" t="str">
        <f>TEXT(ventes[[#This Row],[Date]],"AAAA")</f>
        <v>2013</v>
      </c>
    </row>
    <row r="23" spans="2:15" x14ac:dyDescent="0.25">
      <c r="B23" s="20">
        <v>41395</v>
      </c>
      <c r="C23" s="18" t="s">
        <v>58</v>
      </c>
      <c r="D23" s="18">
        <v>1</v>
      </c>
      <c r="E23" s="19" t="s">
        <v>143</v>
      </c>
      <c r="F23" s="19" t="s">
        <v>118</v>
      </c>
      <c r="G23" s="19" t="s">
        <v>120</v>
      </c>
      <c r="H23" s="19">
        <v>23</v>
      </c>
      <c r="I23" s="22">
        <v>0.11</v>
      </c>
      <c r="J23" s="22"/>
      <c r="K23" s="22">
        <f>ventes[[#This Row],[Quantité]]*ventes[[#This Row],[Prix de vente unitaire]]</f>
        <v>2.5299999999999998</v>
      </c>
      <c r="L23" s="22" t="s">
        <v>60</v>
      </c>
      <c r="M23" s="19"/>
      <c r="N23" s="37" t="str">
        <f>TEXT(30*MONTH(ventes[[#This Row],[Date]]), "mmmm")</f>
        <v>mai</v>
      </c>
      <c r="O23" s="37" t="str">
        <f>TEXT(ventes[[#This Row],[Date]],"AAAA")</f>
        <v>2013</v>
      </c>
    </row>
    <row r="24" spans="2:15" x14ac:dyDescent="0.25">
      <c r="B24" s="20">
        <v>41396</v>
      </c>
      <c r="C24" s="18" t="s">
        <v>58</v>
      </c>
      <c r="D24" s="18">
        <v>2</v>
      </c>
      <c r="E24" s="19" t="s">
        <v>64</v>
      </c>
      <c r="F24" s="19" t="s">
        <v>129</v>
      </c>
      <c r="G24" s="19" t="s">
        <v>130</v>
      </c>
      <c r="H24" s="19">
        <v>5</v>
      </c>
      <c r="I24" s="22">
        <v>1</v>
      </c>
      <c r="J24" s="22" t="s">
        <v>59</v>
      </c>
      <c r="K24" s="22">
        <f>ventes[[#This Row],[Quantité]]*ventes[[#This Row],[Prix de vente unitaire]]</f>
        <v>5</v>
      </c>
      <c r="L24" s="22" t="s">
        <v>60</v>
      </c>
      <c r="M24" s="19" t="s">
        <v>150</v>
      </c>
      <c r="N24" s="37" t="str">
        <f>TEXT(30*MONTH(ventes[[#This Row],[Date]]), "mmmm")</f>
        <v>mai</v>
      </c>
      <c r="O24" s="37" t="str">
        <f>TEXT(ventes[[#This Row],[Date]],"AAAA")</f>
        <v>2013</v>
      </c>
    </row>
    <row r="25" spans="2:15" x14ac:dyDescent="0.25">
      <c r="B25" s="20">
        <v>41397</v>
      </c>
      <c r="C25" s="18" t="s">
        <v>65</v>
      </c>
      <c r="D25" s="18">
        <v>4</v>
      </c>
      <c r="E25" s="19" t="s">
        <v>149</v>
      </c>
      <c r="F25" s="19" t="s">
        <v>133</v>
      </c>
      <c r="G25" s="19" t="s">
        <v>134</v>
      </c>
      <c r="H25" s="19">
        <v>3</v>
      </c>
      <c r="I25" s="22">
        <v>40</v>
      </c>
      <c r="J25" s="22"/>
      <c r="K25" s="22">
        <f>ventes[[#This Row],[Quantité]]*ventes[[#This Row],[Prix de vente unitaire]]</f>
        <v>120</v>
      </c>
      <c r="L25" s="22" t="s">
        <v>60</v>
      </c>
      <c r="M25" s="19"/>
      <c r="N25" s="37" t="str">
        <f>TEXT(30*MONTH(ventes[[#This Row],[Date]]), "mmmm")</f>
        <v>mai</v>
      </c>
      <c r="O25" s="37" t="str">
        <f>TEXT(ventes[[#This Row],[Date]],"AAAA")</f>
        <v>2013</v>
      </c>
    </row>
    <row r="26" spans="2:15" x14ac:dyDescent="0.25">
      <c r="B26" s="20">
        <v>41369</v>
      </c>
      <c r="C26" s="18" t="s">
        <v>73</v>
      </c>
      <c r="D26" s="18">
        <v>3</v>
      </c>
      <c r="E26" s="19" t="s">
        <v>54</v>
      </c>
      <c r="F26" s="19" t="s">
        <v>131</v>
      </c>
      <c r="G26" s="19" t="s">
        <v>132</v>
      </c>
      <c r="H26" s="19">
        <v>1</v>
      </c>
      <c r="I26" s="22">
        <v>10</v>
      </c>
      <c r="J26" s="22"/>
      <c r="K26" s="22">
        <f>ventes[[#This Row],[Quantité]]*ventes[[#This Row],[Prix de vente unitaire]]</f>
        <v>10</v>
      </c>
      <c r="L26" s="22" t="s">
        <v>61</v>
      </c>
      <c r="M26" s="19"/>
      <c r="N26" s="37" t="str">
        <f>TEXT(30*MONTH(ventes[[#This Row],[Date]]), "mmmm")</f>
        <v>avril</v>
      </c>
      <c r="O26" s="37" t="str">
        <f>TEXT(ventes[[#This Row],[Date]],"AAAA")</f>
        <v>2013</v>
      </c>
    </row>
    <row r="27" spans="2:15" x14ac:dyDescent="0.25">
      <c r="B27" s="20">
        <v>41399</v>
      </c>
      <c r="C27" s="18" t="s">
        <v>151</v>
      </c>
      <c r="D27" s="18">
        <v>3</v>
      </c>
      <c r="E27" s="19" t="s">
        <v>54</v>
      </c>
      <c r="F27" s="19" t="s">
        <v>131</v>
      </c>
      <c r="G27" s="19" t="s">
        <v>132</v>
      </c>
      <c r="H27" s="19">
        <v>2</v>
      </c>
      <c r="I27" s="22">
        <v>10.5</v>
      </c>
      <c r="J27" s="22"/>
      <c r="K27" s="22">
        <f>ventes[[#This Row],[Quantité]]*ventes[[#This Row],[Prix de vente unitaire]]</f>
        <v>21</v>
      </c>
      <c r="L27" s="22" t="s">
        <v>66</v>
      </c>
      <c r="M27" s="19"/>
      <c r="N27" s="37" t="str">
        <f>TEXT(30*MONTH(ventes[[#This Row],[Date]]), "mmmm")</f>
        <v>mai</v>
      </c>
      <c r="O27" s="37" t="str">
        <f>TEXT(ventes[[#This Row],[Date]],"AAAA")</f>
        <v>2013</v>
      </c>
    </row>
    <row r="28" spans="2:15" x14ac:dyDescent="0.25">
      <c r="B28" s="20">
        <v>41255</v>
      </c>
      <c r="C28" s="18" t="s">
        <v>58</v>
      </c>
      <c r="D28" s="18">
        <v>4</v>
      </c>
      <c r="E28" s="19" t="s">
        <v>149</v>
      </c>
      <c r="F28" s="19" t="s">
        <v>133</v>
      </c>
      <c r="G28" s="19" t="s">
        <v>134</v>
      </c>
      <c r="H28" s="19">
        <v>1</v>
      </c>
      <c r="I28" s="22">
        <v>40</v>
      </c>
      <c r="J28" s="22"/>
      <c r="K28" s="22">
        <f>ventes[[#This Row],[Quantité]]*ventes[[#This Row],[Prix de vente unitaire]]</f>
        <v>40</v>
      </c>
      <c r="L28" s="22" t="s">
        <v>66</v>
      </c>
      <c r="M28" s="19"/>
      <c r="N28" s="37" t="str">
        <f>TEXT(30*MONTH(ventes[[#This Row],[Date]]), "mmmm")</f>
        <v>décembre</v>
      </c>
      <c r="O28" s="37" t="str">
        <f>TEXT(ventes[[#This Row],[Date]],"AAAA")</f>
        <v>2012</v>
      </c>
    </row>
    <row r="29" spans="2:15" x14ac:dyDescent="0.25">
      <c r="B29" s="20" t="s">
        <v>169</v>
      </c>
      <c r="C29" s="18" t="s">
        <v>148</v>
      </c>
      <c r="D29" s="18">
        <v>2</v>
      </c>
      <c r="E29" s="19" t="s">
        <v>168</v>
      </c>
      <c r="F29" s="19" t="s">
        <v>162</v>
      </c>
      <c r="G29" s="19" t="s">
        <v>163</v>
      </c>
      <c r="H29" s="19">
        <v>1</v>
      </c>
      <c r="I29" s="22">
        <v>9</v>
      </c>
      <c r="J29" s="22" t="s">
        <v>59</v>
      </c>
      <c r="K29" s="22">
        <f>ventes[[#This Row],[Quantité]]*ventes[[#This Row],[Prix de vente unitaire]]</f>
        <v>9</v>
      </c>
      <c r="L29" s="22" t="s">
        <v>66</v>
      </c>
      <c r="M29" s="19"/>
      <c r="N29" s="37" t="str">
        <f>TEXT(30*MONTH(ventes[[#This Row],[Date]]), "mmmm")</f>
        <v>avril</v>
      </c>
      <c r="O29" s="37" t="str">
        <f>TEXT(ventes[[#This Row],[Date]],"AAAA")</f>
        <v>2013</v>
      </c>
    </row>
    <row r="30" spans="2:15" x14ac:dyDescent="0.25">
      <c r="B30" s="20">
        <v>41255</v>
      </c>
      <c r="C30" s="18" t="s">
        <v>58</v>
      </c>
      <c r="D30" s="18">
        <v>20</v>
      </c>
      <c r="E30" s="19" t="s">
        <v>177</v>
      </c>
      <c r="F30" s="19" t="s">
        <v>175</v>
      </c>
      <c r="G30" s="19" t="s">
        <v>176</v>
      </c>
      <c r="H30" s="19">
        <v>1</v>
      </c>
      <c r="I30" s="22">
        <v>7.8</v>
      </c>
      <c r="J30" s="22"/>
      <c r="K30" s="22">
        <f>ventes[[#This Row],[Quantité]]*ventes[[#This Row],[Prix de vente unitaire]]</f>
        <v>7.8</v>
      </c>
      <c r="L30" s="22" t="s">
        <v>60</v>
      </c>
      <c r="M30" s="19"/>
      <c r="N30" s="37" t="str">
        <f>TEXT(30*MONTH(ventes[[#This Row],[Date]]), "mmmm")</f>
        <v>décembre</v>
      </c>
      <c r="O30" s="37" t="str">
        <f>TEXT(ventes[[#This Row],[Date]],"AAAA")</f>
        <v>2012</v>
      </c>
    </row>
  </sheetData>
  <sheetProtection sheet="1" objects="1" scenarios="1"/>
  <mergeCells count="1">
    <mergeCell ref="G8:I8"/>
  </mergeCells>
  <pageMargins left="0.7" right="0.7" top="0.75" bottom="0.75" header="0.3" footer="0.3"/>
  <ignoredErrors>
    <ignoredError sqref="K18" calculatedColumn="1"/>
  </ignoredErrors>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I24"/>
  <sheetViews>
    <sheetView showGridLines="0" workbookViewId="0">
      <selection activeCell="D28" sqref="D28"/>
    </sheetView>
  </sheetViews>
  <sheetFormatPr baseColWidth="10" defaultRowHeight="15" x14ac:dyDescent="0.25"/>
  <cols>
    <col min="1" max="1" width="11.5703125" style="6" customWidth="1"/>
    <col min="2" max="2" width="10.7109375" style="18" customWidth="1"/>
    <col min="3" max="3" width="15.5703125" style="6" customWidth="1"/>
    <col min="4" max="4" width="38" style="6" customWidth="1"/>
    <col min="5" max="5" width="17.28515625" style="6" customWidth="1"/>
    <col min="6" max="6" width="13.42578125" style="6" bestFit="1" customWidth="1"/>
    <col min="7" max="7" width="16.85546875" style="23" customWidth="1"/>
    <col min="8" max="8" width="16.140625" style="23" customWidth="1"/>
    <col min="9" max="9" width="15.42578125" style="23" customWidth="1"/>
    <col min="10" max="16384" width="11.42578125" style="6"/>
  </cols>
  <sheetData>
    <row r="1" spans="1:7" x14ac:dyDescent="0.25">
      <c r="A1" s="6" t="s">
        <v>67</v>
      </c>
      <c r="B1" s="18" t="s">
        <v>68</v>
      </c>
      <c r="C1" s="6" t="s">
        <v>69</v>
      </c>
      <c r="D1" s="6" t="s">
        <v>70</v>
      </c>
    </row>
    <row r="8" spans="1:7" ht="23.25" customHeight="1" x14ac:dyDescent="0.35">
      <c r="F8" s="95" t="s">
        <v>49</v>
      </c>
      <c r="G8" s="95"/>
    </row>
    <row r="17" spans="2:9" s="18" customFormat="1" ht="30" x14ac:dyDescent="0.25">
      <c r="B17" s="25" t="s">
        <v>9</v>
      </c>
      <c r="C17" s="25" t="s">
        <v>0</v>
      </c>
      <c r="D17" s="25" t="s">
        <v>1</v>
      </c>
      <c r="E17" s="25" t="s">
        <v>8</v>
      </c>
      <c r="F17" s="25" t="s">
        <v>6</v>
      </c>
      <c r="G17" s="46" t="s">
        <v>152</v>
      </c>
      <c r="H17" s="46" t="s">
        <v>62</v>
      </c>
      <c r="I17" s="47" t="s">
        <v>63</v>
      </c>
    </row>
    <row r="18" spans="2:9" x14ac:dyDescent="0.25">
      <c r="B18" s="44">
        <v>1</v>
      </c>
      <c r="C18" s="24" t="s">
        <v>143</v>
      </c>
      <c r="D18" s="24" t="s">
        <v>118</v>
      </c>
      <c r="E18" s="24" t="s">
        <v>120</v>
      </c>
      <c r="F18" s="24">
        <v>152</v>
      </c>
      <c r="G18" s="42">
        <v>7.0000000000000007E-2</v>
      </c>
      <c r="H18" s="42">
        <f>Stocks[[#This Row],[Quantité]]*Stocks[[#This Row],[Coût d''achat unitaire (PEPS)]]</f>
        <v>10.64</v>
      </c>
      <c r="I18" s="43">
        <f>VLOOKUP(D18,ZoneProduits,4,FALSE)*Stocks[[#This Row],[Quantité]]</f>
        <v>18.239999999999998</v>
      </c>
    </row>
    <row r="19" spans="2:9" x14ac:dyDescent="0.25">
      <c r="B19" s="45">
        <v>2</v>
      </c>
      <c r="C19" s="39" t="s">
        <v>53</v>
      </c>
      <c r="D19" s="39" t="s">
        <v>126</v>
      </c>
      <c r="E19" s="39" t="s">
        <v>128</v>
      </c>
      <c r="F19" s="39">
        <v>5</v>
      </c>
      <c r="G19" s="40">
        <v>3</v>
      </c>
      <c r="H19" s="40">
        <f>Stocks[[#This Row],[Quantité]]*Stocks[[#This Row],[Coût d''achat unitaire (PEPS)]]</f>
        <v>15</v>
      </c>
      <c r="I19" s="41">
        <f>VLOOKUP(D19,ZoneProduits,4,FALSE)*Stocks[[#This Row],[Quantité]]</f>
        <v>60</v>
      </c>
    </row>
    <row r="20" spans="2:9" x14ac:dyDescent="0.25">
      <c r="B20" s="45">
        <v>3</v>
      </c>
      <c r="C20" s="39" t="s">
        <v>54</v>
      </c>
      <c r="D20" s="39" t="s">
        <v>131</v>
      </c>
      <c r="E20" s="39" t="s">
        <v>132</v>
      </c>
      <c r="F20" s="39">
        <v>-6</v>
      </c>
      <c r="G20" s="40">
        <v>1</v>
      </c>
      <c r="H20" s="40">
        <f>Stocks[[#This Row],[Quantité]]*Stocks[[#This Row],[Coût d''achat unitaire (PEPS)]]</f>
        <v>-6</v>
      </c>
      <c r="I20" s="41">
        <f>VLOOKUP(D20,ZoneProduits,4,FALSE)*Stocks[[#This Row],[Quantité]]</f>
        <v>-63</v>
      </c>
    </row>
    <row r="21" spans="2:9" x14ac:dyDescent="0.25">
      <c r="B21" s="45">
        <v>4</v>
      </c>
      <c r="C21" s="39" t="s">
        <v>149</v>
      </c>
      <c r="D21" s="39" t="s">
        <v>133</v>
      </c>
      <c r="E21" s="39" t="s">
        <v>134</v>
      </c>
      <c r="F21" s="39">
        <v>5</v>
      </c>
      <c r="G21" s="40">
        <v>40</v>
      </c>
      <c r="H21" s="40">
        <f>Stocks[[#This Row],[Quantité]]*Stocks[[#This Row],[Coût d''achat unitaire (PEPS)]]</f>
        <v>200</v>
      </c>
      <c r="I21" s="41">
        <f>VLOOKUP(D21,ZoneProduits,4,FALSE)*Stocks[[#This Row],[Quantité]]</f>
        <v>200</v>
      </c>
    </row>
    <row r="22" spans="2:9" x14ac:dyDescent="0.25">
      <c r="B22" s="50">
        <v>2</v>
      </c>
      <c r="C22" s="51" t="s">
        <v>168</v>
      </c>
      <c r="D22" s="51" t="s">
        <v>162</v>
      </c>
      <c r="E22" s="51" t="s">
        <v>163</v>
      </c>
      <c r="F22" s="51">
        <v>2</v>
      </c>
      <c r="G22" s="52">
        <v>5</v>
      </c>
      <c r="H22" s="52">
        <f>Stocks[[#This Row],[Quantité]]*Stocks[[#This Row],[Coût d''achat unitaire (PEPS)]]</f>
        <v>10</v>
      </c>
      <c r="I22" s="53">
        <f>VLOOKUP(D22,ZoneProduits,4,FALSE)*Stocks[[#This Row],[Quantité]]</f>
        <v>20</v>
      </c>
    </row>
    <row r="23" spans="2:9" x14ac:dyDescent="0.25">
      <c r="B23" s="45">
        <v>20</v>
      </c>
      <c r="C23" s="39" t="s">
        <v>177</v>
      </c>
      <c r="D23" s="39" t="s">
        <v>175</v>
      </c>
      <c r="E23" s="39" t="s">
        <v>176</v>
      </c>
      <c r="F23" s="39">
        <v>5</v>
      </c>
      <c r="G23" s="40">
        <v>2</v>
      </c>
      <c r="H23" s="40">
        <f>Stocks[[#This Row],[Quantité]]*Stocks[[#This Row],[Coût d''achat unitaire (PEPS)]]</f>
        <v>10</v>
      </c>
      <c r="I23" s="41">
        <f>VLOOKUP(D23,ZoneProduits,4,FALSE)*Stocks[[#This Row],[Quantité]]</f>
        <v>39</v>
      </c>
    </row>
    <row r="24" spans="2:9" x14ac:dyDescent="0.25">
      <c r="B24" s="45">
        <v>20</v>
      </c>
      <c r="C24" s="39" t="s">
        <v>179</v>
      </c>
      <c r="D24" s="39" t="s">
        <v>178</v>
      </c>
      <c r="E24" s="39"/>
      <c r="F24" s="39">
        <v>2</v>
      </c>
      <c r="G24" s="40">
        <v>3.8</v>
      </c>
      <c r="H24" s="40">
        <f>Stocks[[#This Row],[Quantité]]*Stocks[[#This Row],[Coût d''achat unitaire (PEPS)]]</f>
        <v>7.6</v>
      </c>
      <c r="I24" s="41">
        <f>VLOOKUP(D24,ZoneProduits,4,FALSE)*Stocks[[#This Row],[Quantité]]</f>
        <v>22</v>
      </c>
    </row>
  </sheetData>
  <mergeCells count="1">
    <mergeCell ref="F8:G8"/>
  </mergeCells>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7:L58"/>
  <sheetViews>
    <sheetView showGridLines="0" tabSelected="1" topLeftCell="A16" workbookViewId="0">
      <selection activeCell="G35" sqref="G35"/>
    </sheetView>
  </sheetViews>
  <sheetFormatPr baseColWidth="10" defaultColWidth="15.42578125" defaultRowHeight="15" x14ac:dyDescent="0.25"/>
  <cols>
    <col min="1" max="1" width="4.85546875" style="61" customWidth="1"/>
    <col min="2" max="2" width="34.140625" style="61" customWidth="1"/>
    <col min="3" max="4" width="15.42578125" style="61"/>
    <col min="5" max="5" width="15.42578125" style="107"/>
    <col min="6" max="6" width="6.7109375" style="61" customWidth="1"/>
    <col min="7" max="7" width="28.42578125" style="61" bestFit="1" customWidth="1"/>
    <col min="8" max="8" width="12.7109375" style="62" customWidth="1"/>
    <col min="9" max="9" width="13.85546875" style="60" customWidth="1"/>
    <col min="10" max="10" width="30" style="101" bestFit="1" customWidth="1"/>
    <col min="11" max="11" width="15.28515625" style="61" bestFit="1" customWidth="1"/>
    <col min="12" max="16384" width="15.42578125" style="61"/>
  </cols>
  <sheetData>
    <row r="7" spans="7:8" ht="23.25" x14ac:dyDescent="0.35">
      <c r="G7" s="97" t="s">
        <v>173</v>
      </c>
      <c r="H7" s="97"/>
    </row>
    <row r="17" spans="1:12" x14ac:dyDescent="0.25">
      <c r="H17" s="62">
        <v>296.78999999999996</v>
      </c>
    </row>
    <row r="21" spans="1:12" x14ac:dyDescent="0.25">
      <c r="A21" s="63"/>
      <c r="B21" s="63"/>
      <c r="C21" s="63"/>
      <c r="D21" s="63"/>
      <c r="E21" s="108"/>
      <c r="F21" s="63"/>
      <c r="G21" s="63"/>
      <c r="H21" s="64"/>
      <c r="I21" s="65"/>
      <c r="J21" s="102"/>
      <c r="K21" s="63"/>
      <c r="L21" s="63"/>
    </row>
    <row r="22" spans="1:12" x14ac:dyDescent="0.25">
      <c r="A22" s="66"/>
      <c r="B22" s="67" t="s">
        <v>74</v>
      </c>
      <c r="C22" s="68" t="s">
        <v>75</v>
      </c>
      <c r="D22" s="69" t="s">
        <v>76</v>
      </c>
      <c r="E22" s="109" t="s">
        <v>77</v>
      </c>
      <c r="F22" s="70"/>
      <c r="G22" s="71" t="s">
        <v>78</v>
      </c>
      <c r="H22" s="72" t="s">
        <v>75</v>
      </c>
      <c r="I22" s="73" t="s">
        <v>172</v>
      </c>
      <c r="J22" s="103" t="s">
        <v>77</v>
      </c>
      <c r="K22" s="66"/>
    </row>
    <row r="23" spans="1:12" x14ac:dyDescent="0.25">
      <c r="A23" s="63"/>
      <c r="B23" s="67" t="s">
        <v>79</v>
      </c>
      <c r="C23" s="68">
        <f>Revenus[[#Totals],[ESTIMÉ]]</f>
        <v>73950</v>
      </c>
      <c r="D23" s="69">
        <f>Revenus[[#Totals],[REEL]]</f>
        <v>296.78999999999996</v>
      </c>
      <c r="E23" s="109">
        <f>TableauTotaux[[#This Row],[RÉEL]]-TableauTotaux[[#This Row],[ESTIMÉ]]</f>
        <v>-73653.210000000006</v>
      </c>
      <c r="F23" s="70"/>
      <c r="G23" s="74" t="s">
        <v>80</v>
      </c>
      <c r="H23" s="75">
        <v>60000</v>
      </c>
      <c r="I23" s="59">
        <f>GETPIVOTDATA("Total",BudgetDynamique!$A$4)</f>
        <v>296.78999999999996</v>
      </c>
      <c r="J23" s="104">
        <f>Revenus[[#This Row],[REEL]]-Revenus[[#This Row],[ESTIMÉ]]</f>
        <v>-59703.21</v>
      </c>
      <c r="K23" s="63"/>
    </row>
    <row r="24" spans="1:12" x14ac:dyDescent="0.25">
      <c r="A24" s="63"/>
      <c r="B24" s="67" t="s">
        <v>81</v>
      </c>
      <c r="C24" s="68">
        <f>FraisExploitation[[#Totals],[ESTIMÉ]]+DépensesPersonnelles[[#Totals],[ESTIMÉ]]</f>
        <v>10600</v>
      </c>
      <c r="D24" s="69">
        <f>FraisExploitation[[#Totals],[REEL]]+DépensesPersonnelles[[#Totals],[REEL]]</f>
        <v>0</v>
      </c>
      <c r="E24" s="109">
        <f>TableauTotaux[[#This Row],[ESTIMÉ]]-TableauTotaux[[#This Row],[RÉEL]]</f>
        <v>10600</v>
      </c>
      <c r="F24" s="70"/>
      <c r="G24" s="74" t="s">
        <v>82</v>
      </c>
      <c r="H24" s="75">
        <v>3000</v>
      </c>
      <c r="I24" s="59">
        <v>0</v>
      </c>
      <c r="J24" s="104">
        <f>Revenus[[#This Row],[REEL]]-Revenus[[#This Row],[ESTIMÉ]]</f>
        <v>-3000</v>
      </c>
      <c r="K24" s="63"/>
    </row>
    <row r="25" spans="1:12" x14ac:dyDescent="0.25">
      <c r="A25" s="63"/>
      <c r="B25" s="67" t="s">
        <v>83</v>
      </c>
      <c r="C25" s="68">
        <f>C23-C24</f>
        <v>63350</v>
      </c>
      <c r="D25" s="69">
        <f>D23-D24</f>
        <v>296.78999999999996</v>
      </c>
      <c r="E25" s="109">
        <f>SUBTOTAL(109,TableauTotaux[DIFFÉRENCE])</f>
        <v>-63053.210000000006</v>
      </c>
      <c r="F25" s="70"/>
      <c r="G25" s="74" t="s">
        <v>84</v>
      </c>
      <c r="H25" s="75">
        <v>300</v>
      </c>
      <c r="I25" s="59">
        <v>0</v>
      </c>
      <c r="J25" s="104">
        <f>Revenus[[#This Row],[REEL]]-Revenus[[#This Row],[ESTIMÉ]]</f>
        <v>-300</v>
      </c>
      <c r="K25" s="63"/>
    </row>
    <row r="26" spans="1:12" x14ac:dyDescent="0.25">
      <c r="A26" s="63"/>
      <c r="B26" s="74"/>
      <c r="C26" s="76"/>
      <c r="D26" s="76"/>
      <c r="E26" s="77"/>
      <c r="F26" s="63"/>
      <c r="G26" s="74" t="s">
        <v>99</v>
      </c>
      <c r="H26" s="75">
        <v>10000</v>
      </c>
      <c r="I26" s="59">
        <v>0</v>
      </c>
      <c r="J26" s="104">
        <f>Revenus[[#This Row],[REEL]]-Revenus[[#This Row],[ESTIMÉ]]</f>
        <v>-10000</v>
      </c>
      <c r="K26" s="63"/>
    </row>
    <row r="27" spans="1:12" x14ac:dyDescent="0.25">
      <c r="A27" s="63"/>
      <c r="B27" s="63"/>
      <c r="C27" s="63"/>
      <c r="D27" s="63"/>
      <c r="E27" s="108"/>
      <c r="F27" s="63"/>
      <c r="G27" s="74" t="s">
        <v>101</v>
      </c>
      <c r="H27" s="75">
        <v>100</v>
      </c>
      <c r="I27" s="59">
        <v>0</v>
      </c>
      <c r="J27" s="104">
        <f>Revenus[[#This Row],[REEL]]-Revenus[[#This Row],[ESTIMÉ]]</f>
        <v>-100</v>
      </c>
      <c r="K27" s="78"/>
      <c r="L27" s="63"/>
    </row>
    <row r="28" spans="1:12" x14ac:dyDescent="0.25">
      <c r="A28" s="63"/>
      <c r="B28" s="63"/>
      <c r="C28" s="63"/>
      <c r="D28" s="63"/>
      <c r="E28" s="108"/>
      <c r="F28" s="63"/>
      <c r="G28" s="74" t="s">
        <v>102</v>
      </c>
      <c r="H28" s="75">
        <v>100</v>
      </c>
      <c r="I28" s="59">
        <v>0</v>
      </c>
      <c r="J28" s="104">
        <f>Revenus[[#This Row],[REEL]]-Revenus[[#This Row],[ESTIMÉ]]</f>
        <v>-100</v>
      </c>
      <c r="K28" s="63"/>
    </row>
    <row r="29" spans="1:12" x14ac:dyDescent="0.25">
      <c r="A29" s="63"/>
      <c r="B29" s="63"/>
      <c r="C29" s="63"/>
      <c r="D29" s="63"/>
      <c r="E29" s="108"/>
      <c r="F29" s="63"/>
      <c r="G29" s="74" t="s">
        <v>103</v>
      </c>
      <c r="H29" s="75">
        <v>100</v>
      </c>
      <c r="I29" s="59">
        <v>0</v>
      </c>
      <c r="J29" s="104">
        <f>Revenus[[#This Row],[REEL]]-Revenus[[#This Row],[ESTIMÉ]]</f>
        <v>-100</v>
      </c>
      <c r="K29" s="63"/>
    </row>
    <row r="30" spans="1:12" x14ac:dyDescent="0.25">
      <c r="A30" s="63"/>
      <c r="B30" s="63"/>
      <c r="C30" s="63"/>
      <c r="D30" s="63"/>
      <c r="E30" s="108"/>
      <c r="F30" s="63"/>
      <c r="G30" s="74" t="s">
        <v>104</v>
      </c>
      <c r="H30" s="75">
        <v>250</v>
      </c>
      <c r="I30" s="59">
        <v>0</v>
      </c>
      <c r="J30" s="104">
        <f>Revenus[[#This Row],[REEL]]-Revenus[[#This Row],[ESTIMÉ]]</f>
        <v>-250</v>
      </c>
      <c r="K30" s="63"/>
    </row>
    <row r="31" spans="1:12" x14ac:dyDescent="0.25">
      <c r="A31" s="63"/>
      <c r="B31" s="63"/>
      <c r="C31" s="63"/>
      <c r="D31" s="63"/>
      <c r="E31" s="108"/>
      <c r="F31" s="63"/>
      <c r="G31" s="74" t="s">
        <v>170</v>
      </c>
      <c r="H31" s="75">
        <v>100</v>
      </c>
      <c r="I31" s="59">
        <v>0</v>
      </c>
      <c r="J31" s="104">
        <f>Revenus[[#This Row],[REEL]]-Revenus[[#This Row],[ESTIMÉ]]</f>
        <v>-100</v>
      </c>
      <c r="K31" s="63"/>
    </row>
    <row r="32" spans="1:12" x14ac:dyDescent="0.25">
      <c r="A32" s="63"/>
      <c r="B32" s="63"/>
      <c r="C32" s="63"/>
      <c r="D32" s="63"/>
      <c r="E32" s="108"/>
      <c r="F32" s="63"/>
      <c r="G32" s="74" t="s">
        <v>4</v>
      </c>
      <c r="H32" s="79">
        <f>SUBTOTAL(109,Revenus[ESTIMÉ])</f>
        <v>73950</v>
      </c>
      <c r="I32" s="80">
        <f>SUBTOTAL(109,Revenus[REEL])</f>
        <v>296.78999999999996</v>
      </c>
      <c r="J32" s="105">
        <f>SUBTOTAL(109,Revenus[DIFFÉRENCE])</f>
        <v>-73653.209999999992</v>
      </c>
      <c r="K32" s="63"/>
    </row>
    <row r="33" spans="1:12" x14ac:dyDescent="0.25">
      <c r="A33" s="63"/>
      <c r="B33" s="63"/>
      <c r="C33" s="63"/>
      <c r="D33" s="63"/>
      <c r="E33" s="108"/>
      <c r="F33" s="63"/>
      <c r="G33" s="78"/>
      <c r="H33" s="81"/>
      <c r="I33" s="82"/>
      <c r="J33" s="106"/>
      <c r="K33" s="78"/>
      <c r="L33" s="63"/>
    </row>
    <row r="34" spans="1:12" x14ac:dyDescent="0.25">
      <c r="A34" s="63"/>
      <c r="B34" s="63"/>
      <c r="C34" s="63"/>
      <c r="D34" s="63"/>
      <c r="E34" s="108"/>
      <c r="F34" s="63"/>
      <c r="G34" s="74" t="s">
        <v>100</v>
      </c>
      <c r="H34" s="75" t="s">
        <v>75</v>
      </c>
      <c r="I34" s="59" t="s">
        <v>172</v>
      </c>
      <c r="J34" s="104" t="s">
        <v>77</v>
      </c>
      <c r="K34" s="63"/>
    </row>
    <row r="35" spans="1:12" x14ac:dyDescent="0.25">
      <c r="A35" s="63"/>
      <c r="B35" s="63"/>
      <c r="C35" s="63"/>
      <c r="D35" s="63"/>
      <c r="E35" s="108"/>
      <c r="F35" s="63"/>
      <c r="G35" s="74" t="s">
        <v>85</v>
      </c>
      <c r="H35" s="75">
        <v>9500</v>
      </c>
      <c r="I35" s="59">
        <v>0</v>
      </c>
      <c r="J35" s="104">
        <f>DépensesPersonnelles[[#This Row],[ESTIMÉ]]-DépensesPersonnelles[[#This Row],[REEL]]</f>
        <v>9500</v>
      </c>
      <c r="K35" s="63"/>
    </row>
    <row r="36" spans="1:12" x14ac:dyDescent="0.25">
      <c r="A36" s="63"/>
      <c r="B36" s="63"/>
      <c r="C36" s="63"/>
      <c r="D36" s="63"/>
      <c r="E36" s="108"/>
      <c r="F36" s="63"/>
      <c r="G36" s="74" t="s">
        <v>86</v>
      </c>
      <c r="H36" s="79">
        <f>SUBTOTAL(109,DépensesPersonnelles[ESTIMÉ])</f>
        <v>9500</v>
      </c>
      <c r="I36" s="80">
        <f>SUBTOTAL(109,DépensesPersonnelles[REEL])</f>
        <v>0</v>
      </c>
      <c r="J36" s="105">
        <f>SUBTOTAL(109,DépensesPersonnelles[DIFFÉRENCE])</f>
        <v>9500</v>
      </c>
      <c r="K36" s="63"/>
    </row>
    <row r="37" spans="1:12" x14ac:dyDescent="0.25">
      <c r="A37" s="63"/>
      <c r="B37" s="63"/>
      <c r="C37" s="63"/>
      <c r="D37" s="63"/>
      <c r="E37" s="108"/>
      <c r="F37" s="63"/>
      <c r="G37" s="78"/>
      <c r="H37" s="81"/>
      <c r="I37" s="82"/>
      <c r="J37" s="106"/>
      <c r="K37" s="63"/>
    </row>
    <row r="38" spans="1:12" x14ac:dyDescent="0.25">
      <c r="A38" s="63"/>
      <c r="B38" s="63"/>
      <c r="C38" s="63"/>
      <c r="D38" s="63"/>
      <c r="E38" s="108"/>
      <c r="F38" s="63"/>
      <c r="G38" s="74" t="s">
        <v>87</v>
      </c>
      <c r="H38" s="79" t="s">
        <v>75</v>
      </c>
      <c r="I38" s="80" t="s">
        <v>172</v>
      </c>
      <c r="J38" s="105" t="s">
        <v>77</v>
      </c>
      <c r="K38" s="63"/>
    </row>
    <row r="39" spans="1:12" x14ac:dyDescent="0.25">
      <c r="A39" s="63"/>
      <c r="B39" s="63"/>
      <c r="C39" s="63"/>
      <c r="D39" s="63"/>
      <c r="E39" s="108"/>
      <c r="F39" s="63"/>
      <c r="G39" s="74" t="s">
        <v>92</v>
      </c>
      <c r="H39" s="75">
        <v>1100</v>
      </c>
      <c r="I39" s="59">
        <v>0</v>
      </c>
      <c r="J39" s="104">
        <f>FraisExploitation[[#This Row],[ESTIMÉ]]-FraisExploitation[[#This Row],[REEL]]</f>
        <v>1100</v>
      </c>
      <c r="K39" s="63"/>
    </row>
    <row r="40" spans="1:12" x14ac:dyDescent="0.25">
      <c r="A40" s="63"/>
      <c r="B40" s="63"/>
      <c r="C40" s="63"/>
      <c r="D40" s="63"/>
      <c r="E40" s="108"/>
      <c r="F40" s="63"/>
      <c r="G40" s="74" t="s">
        <v>88</v>
      </c>
      <c r="H40" s="75"/>
      <c r="I40" s="59">
        <v>0</v>
      </c>
      <c r="J40" s="104">
        <f>FraisExploitation[[#This Row],[ESTIMÉ]]-FraisExploitation[[#This Row],[REEL]]</f>
        <v>0</v>
      </c>
      <c r="K40" s="63"/>
    </row>
    <row r="41" spans="1:12" x14ac:dyDescent="0.25">
      <c r="A41" s="63"/>
      <c r="B41" s="63"/>
      <c r="C41" s="63"/>
      <c r="D41" s="63"/>
      <c r="E41" s="108"/>
      <c r="F41" s="63"/>
      <c r="G41" s="74" t="s">
        <v>93</v>
      </c>
      <c r="H41" s="75"/>
      <c r="I41" s="59">
        <v>0</v>
      </c>
      <c r="J41" s="104">
        <f>FraisExploitation[[#This Row],[ESTIMÉ]]-FraisExploitation[[#This Row],[REEL]]</f>
        <v>0</v>
      </c>
      <c r="K41" s="63"/>
    </row>
    <row r="42" spans="1:12" x14ac:dyDescent="0.25">
      <c r="A42" s="63"/>
      <c r="B42" s="63"/>
      <c r="C42" s="63"/>
      <c r="D42" s="63"/>
      <c r="E42" s="108"/>
      <c r="F42" s="63"/>
      <c r="G42" s="74" t="s">
        <v>94</v>
      </c>
      <c r="H42" s="75"/>
      <c r="I42" s="59">
        <v>0</v>
      </c>
      <c r="J42" s="104">
        <f>FraisExploitation[[#This Row],[ESTIMÉ]]-FraisExploitation[[#This Row],[REEL]]</f>
        <v>0</v>
      </c>
      <c r="K42" s="63"/>
    </row>
    <row r="43" spans="1:12" x14ac:dyDescent="0.25">
      <c r="A43" s="63"/>
      <c r="B43" s="63"/>
      <c r="C43" s="63"/>
      <c r="D43" s="63"/>
      <c r="E43" s="110"/>
      <c r="F43" s="63"/>
      <c r="G43" s="74" t="s">
        <v>90</v>
      </c>
      <c r="H43" s="75"/>
      <c r="I43" s="59">
        <v>0</v>
      </c>
      <c r="J43" s="104">
        <f>FraisExploitation[[#This Row],[ESTIMÉ]]-FraisExploitation[[#This Row],[REEL]]</f>
        <v>0</v>
      </c>
      <c r="K43" s="63"/>
    </row>
    <row r="44" spans="1:12" x14ac:dyDescent="0.25">
      <c r="A44" s="63"/>
      <c r="B44" s="63"/>
      <c r="C44" s="63"/>
      <c r="D44" s="83"/>
      <c r="E44" s="108"/>
      <c r="F44" s="63"/>
      <c r="G44" s="74" t="s">
        <v>89</v>
      </c>
      <c r="H44" s="75"/>
      <c r="I44" s="59">
        <v>0</v>
      </c>
      <c r="J44" s="104">
        <f>FraisExploitation[[#This Row],[ESTIMÉ]]-FraisExploitation[[#This Row],[REEL]]</f>
        <v>0</v>
      </c>
      <c r="K44" s="63"/>
    </row>
    <row r="45" spans="1:12" x14ac:dyDescent="0.25">
      <c r="A45" s="63"/>
      <c r="B45" s="63"/>
      <c r="C45" s="63"/>
      <c r="D45" s="83"/>
      <c r="E45" s="108"/>
      <c r="F45" s="63"/>
      <c r="G45" s="74" t="s">
        <v>98</v>
      </c>
      <c r="H45" s="75"/>
      <c r="I45" s="59">
        <v>0</v>
      </c>
      <c r="J45" s="104">
        <f>FraisExploitation[[#This Row],[ESTIMÉ]]-FraisExploitation[[#This Row],[REEL]]</f>
        <v>0</v>
      </c>
      <c r="K45" s="63"/>
    </row>
    <row r="46" spans="1:12" x14ac:dyDescent="0.25">
      <c r="A46" s="63"/>
      <c r="B46" s="63"/>
      <c r="C46" s="63"/>
      <c r="D46" s="83"/>
      <c r="E46" s="108"/>
      <c r="F46" s="63"/>
      <c r="G46" s="74" t="s">
        <v>95</v>
      </c>
      <c r="H46" s="75"/>
      <c r="I46" s="59">
        <v>0</v>
      </c>
      <c r="J46" s="104">
        <f>FraisExploitation[[#This Row],[ESTIMÉ]]-FraisExploitation[[#This Row],[REEL]]</f>
        <v>0</v>
      </c>
      <c r="K46" s="63"/>
    </row>
    <row r="47" spans="1:12" x14ac:dyDescent="0.25">
      <c r="A47" s="63"/>
      <c r="B47" s="96"/>
      <c r="C47" s="96"/>
      <c r="D47" s="96"/>
      <c r="E47" s="110"/>
      <c r="F47" s="63"/>
      <c r="G47" s="74" t="s">
        <v>96</v>
      </c>
      <c r="H47" s="75"/>
      <c r="I47" s="59">
        <v>0</v>
      </c>
      <c r="J47" s="104">
        <f>FraisExploitation[[#This Row],[ESTIMÉ]]-FraisExploitation[[#This Row],[REEL]]</f>
        <v>0</v>
      </c>
      <c r="K47" s="63"/>
    </row>
    <row r="48" spans="1:12" ht="15.75" x14ac:dyDescent="0.25">
      <c r="A48" s="63"/>
      <c r="B48" s="84"/>
      <c r="C48" s="84"/>
      <c r="D48" s="84"/>
      <c r="E48" s="111"/>
      <c r="F48" s="63"/>
      <c r="G48" s="74" t="s">
        <v>97</v>
      </c>
      <c r="H48" s="75"/>
      <c r="I48" s="59">
        <v>0</v>
      </c>
      <c r="J48" s="104">
        <f>FraisExploitation[[#This Row],[ESTIMÉ]]-FraisExploitation[[#This Row],[REEL]]</f>
        <v>0</v>
      </c>
      <c r="K48" s="63"/>
    </row>
    <row r="49" spans="1:12" x14ac:dyDescent="0.25">
      <c r="A49" s="63"/>
      <c r="B49" s="71"/>
      <c r="C49" s="85"/>
      <c r="D49" s="85"/>
      <c r="E49" s="112"/>
      <c r="F49" s="63"/>
      <c r="G49" s="74"/>
      <c r="H49" s="75"/>
      <c r="I49" s="59">
        <v>0</v>
      </c>
      <c r="J49" s="104">
        <f>FraisExploitation[[#This Row],[ESTIMÉ]]-FraisExploitation[[#This Row],[REEL]]</f>
        <v>0</v>
      </c>
      <c r="K49" s="63"/>
    </row>
    <row r="50" spans="1:12" x14ac:dyDescent="0.25">
      <c r="A50" s="63"/>
      <c r="B50" s="74"/>
      <c r="C50" s="86"/>
      <c r="D50" s="87"/>
      <c r="E50" s="77"/>
      <c r="F50" s="63"/>
      <c r="G50" s="63" t="s">
        <v>4</v>
      </c>
      <c r="H50" s="64">
        <f>SUBTOTAL(109,FraisExploitation[ESTIMÉ])</f>
        <v>1100</v>
      </c>
      <c r="I50" s="65">
        <f>SUBTOTAL(109,FraisExploitation[REEL])</f>
        <v>0</v>
      </c>
      <c r="J50" s="102">
        <f>SUBTOTAL(109,FraisExploitation[DIFFÉRENCE])</f>
        <v>1100</v>
      </c>
      <c r="K50" s="63"/>
    </row>
    <row r="51" spans="1:12" x14ac:dyDescent="0.25">
      <c r="A51" s="63"/>
      <c r="B51" s="74"/>
      <c r="C51" s="88"/>
      <c r="D51" s="87"/>
      <c r="E51" s="77"/>
      <c r="F51" s="63"/>
      <c r="G51" s="63" t="s">
        <v>91</v>
      </c>
      <c r="H51" s="64"/>
      <c r="I51" s="65"/>
      <c r="J51" s="102"/>
      <c r="K51" s="63"/>
    </row>
    <row r="52" spans="1:12" x14ac:dyDescent="0.25">
      <c r="A52" s="63"/>
      <c r="B52" s="74"/>
      <c r="C52" s="88"/>
      <c r="D52" s="87"/>
      <c r="E52" s="77"/>
      <c r="F52" s="63"/>
      <c r="G52" s="63"/>
      <c r="H52" s="64"/>
      <c r="I52" s="65"/>
      <c r="J52" s="102"/>
      <c r="K52" s="63"/>
    </row>
    <row r="53" spans="1:12" x14ac:dyDescent="0.25">
      <c r="A53" s="63"/>
      <c r="B53" s="74"/>
      <c r="C53" s="88"/>
      <c r="D53" s="87"/>
      <c r="E53" s="77"/>
      <c r="F53" s="63"/>
      <c r="G53" s="63"/>
      <c r="H53" s="64"/>
      <c r="I53" s="65"/>
      <c r="J53" s="102"/>
      <c r="K53" s="63"/>
    </row>
    <row r="54" spans="1:12" x14ac:dyDescent="0.25">
      <c r="A54" s="63"/>
      <c r="B54" s="74"/>
      <c r="C54" s="88"/>
      <c r="D54" s="87"/>
      <c r="E54" s="77"/>
      <c r="F54" s="63"/>
      <c r="K54" s="63"/>
    </row>
    <row r="55" spans="1:12" x14ac:dyDescent="0.25">
      <c r="A55" s="63"/>
      <c r="B55" s="74"/>
      <c r="C55" s="89"/>
      <c r="D55" s="90"/>
      <c r="E55" s="77"/>
      <c r="F55" s="63"/>
      <c r="K55" s="63"/>
    </row>
    <row r="56" spans="1:12" x14ac:dyDescent="0.25">
      <c r="A56" s="63"/>
      <c r="B56" s="63"/>
      <c r="C56" s="63"/>
      <c r="D56" s="63"/>
      <c r="E56" s="108"/>
      <c r="F56" s="63"/>
      <c r="K56" s="63"/>
      <c r="L56" s="63"/>
    </row>
    <row r="57" spans="1:12" x14ac:dyDescent="0.25">
      <c r="A57" s="63"/>
      <c r="B57" s="63"/>
      <c r="C57" s="63"/>
      <c r="D57" s="63"/>
      <c r="E57" s="108"/>
      <c r="F57" s="63"/>
      <c r="K57" s="63"/>
      <c r="L57" s="63"/>
    </row>
    <row r="58" spans="1:12" x14ac:dyDescent="0.25">
      <c r="A58" s="63"/>
      <c r="B58" s="63"/>
      <c r="C58" s="63"/>
      <c r="D58" s="63"/>
      <c r="E58" s="108"/>
      <c r="F58" s="63"/>
      <c r="K58" s="63"/>
      <c r="L58" s="63"/>
    </row>
  </sheetData>
  <mergeCells count="2">
    <mergeCell ref="B47:D47"/>
    <mergeCell ref="G7:H7"/>
  </mergeCells>
  <pageMargins left="0.7" right="0.7" top="0.75" bottom="0.75" header="0.3" footer="0.3"/>
  <pageSetup paperSize="9" orientation="portrait" r:id="rId1"/>
  <drawing r:id="rId2"/>
  <tableParts count="4">
    <tablePart r:id="rId3"/>
    <tablePart r:id="rId4"/>
    <tablePart r:id="rId5"/>
    <tablePart r:id="rId6"/>
  </tableParts>
  <extLst>
    <ext xmlns:x14="http://schemas.microsoft.com/office/spreadsheetml/2009/9/main" uri="{78C0D931-6437-407d-A8EE-F0AAD7539E65}">
      <x14:conditionalFormattings>
        <x14:conditionalFormatting xmlns:xm="http://schemas.microsoft.com/office/excel/2006/main">
          <x14:cfRule type="iconSet" priority="4" id="{91354439-5BB4-4BE8-83B2-8F0EAB8370C8}">
            <x14:iconSet iconSet="3Flags" custom="1">
              <x14:cfvo type="percent">
                <xm:f>0</xm:f>
              </x14:cfvo>
              <x14:cfvo type="num">
                <xm:f>0</xm:f>
              </x14:cfvo>
              <x14:cfvo type="num">
                <xm:f>0</xm:f>
              </x14:cfvo>
              <x14:cfIcon iconSet="3Flags" iconId="0"/>
              <x14:cfIcon iconSet="NoIcons" iconId="0"/>
              <x14:cfIcon iconSet="NoIcons" iconId="0"/>
            </x14:iconSet>
          </x14:cfRule>
          <xm:sqref>J39:J49 J35 J23:J31</xm:sqref>
        </x14:conditionalFormatting>
      </x14:conditionalFormattings>
    </ext>
    <ext xmlns:x14="http://schemas.microsoft.com/office/spreadsheetml/2009/9/main" uri="{A8765BA9-456A-4dab-B4F3-ACF838C121DE}">
      <x14:slicerList>
        <x14:slicer r:id="rId7"/>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dimension ref="B9:G37"/>
  <sheetViews>
    <sheetView showGridLines="0" workbookViewId="0">
      <selection activeCell="F9" sqref="F9"/>
    </sheetView>
  </sheetViews>
  <sheetFormatPr baseColWidth="10" defaultColWidth="15.140625" defaultRowHeight="15" x14ac:dyDescent="0.25"/>
  <cols>
    <col min="6" max="6" width="46.140625" customWidth="1"/>
    <col min="7" max="7" width="17" customWidth="1"/>
    <col min="8" max="8" width="15.140625" customWidth="1"/>
  </cols>
  <sheetData>
    <row r="9" spans="6:6" ht="23.25" x14ac:dyDescent="0.25">
      <c r="F9" s="31" t="s">
        <v>105</v>
      </c>
    </row>
    <row r="18" spans="2:7" ht="23.25" x14ac:dyDescent="0.25">
      <c r="F18" s="31" t="s">
        <v>35</v>
      </c>
    </row>
    <row r="21" spans="2:7" ht="15.75" x14ac:dyDescent="0.25">
      <c r="B21" s="7" t="s">
        <v>42</v>
      </c>
      <c r="C21" s="7" t="s">
        <v>36</v>
      </c>
      <c r="D21" s="7" t="s">
        <v>4</v>
      </c>
      <c r="F21" s="10" t="s">
        <v>38</v>
      </c>
      <c r="G21" s="57">
        <v>200</v>
      </c>
    </row>
    <row r="22" spans="2:7" ht="15.75" x14ac:dyDescent="0.25">
      <c r="B22" s="54">
        <v>1</v>
      </c>
      <c r="C22" s="8">
        <v>0.01</v>
      </c>
      <c r="D22" s="9">
        <f>Tableau23[[#This Row],[Nombre]]*Tableau23[[#This Row],[€]]</f>
        <v>0.01</v>
      </c>
      <c r="F22" s="11" t="s">
        <v>43</v>
      </c>
      <c r="G22" s="13">
        <v>781.03</v>
      </c>
    </row>
    <row r="23" spans="2:7" ht="15.75" x14ac:dyDescent="0.25">
      <c r="B23" s="54">
        <v>2</v>
      </c>
      <c r="C23" s="8">
        <v>0.02</v>
      </c>
      <c r="D23" s="9">
        <f>Tableau23[[#This Row],[Nombre]]*Tableau23[[#This Row],[€]]</f>
        <v>0.04</v>
      </c>
      <c r="F23" s="10" t="s">
        <v>44</v>
      </c>
      <c r="G23" s="12">
        <f>D37</f>
        <v>1251.05</v>
      </c>
    </row>
    <row r="24" spans="2:7" ht="18.75" x14ac:dyDescent="0.3">
      <c r="B24" s="54">
        <v>10</v>
      </c>
      <c r="C24" s="8">
        <v>0.05</v>
      </c>
      <c r="D24" s="9">
        <f>Tableau23[[#This Row],[Nombre]]*Tableau23[[#This Row],[€]]</f>
        <v>0.5</v>
      </c>
      <c r="F24" s="11" t="s">
        <v>45</v>
      </c>
      <c r="G24" s="15">
        <f>ABS(G23-G22)</f>
        <v>470.02</v>
      </c>
    </row>
    <row r="25" spans="2:7" ht="23.25" x14ac:dyDescent="0.35">
      <c r="B25" s="54"/>
      <c r="C25" s="8">
        <v>0.1</v>
      </c>
      <c r="D25" s="9">
        <f>Tableau23[[#This Row],[Nombre]]*Tableau23[[#This Row],[€]]</f>
        <v>0</v>
      </c>
      <c r="F25" s="16" t="s">
        <v>39</v>
      </c>
      <c r="G25" s="14">
        <f>G23-G21</f>
        <v>1051.05</v>
      </c>
    </row>
    <row r="26" spans="2:7" ht="15.75" x14ac:dyDescent="0.25">
      <c r="B26" s="54"/>
      <c r="C26" s="8">
        <v>0.2</v>
      </c>
      <c r="D26" s="9">
        <f>Tableau23[[#This Row],[Nombre]]*Tableau23[[#This Row],[€]]</f>
        <v>0</v>
      </c>
    </row>
    <row r="27" spans="2:7" ht="15.75" x14ac:dyDescent="0.25">
      <c r="B27" s="54">
        <v>23</v>
      </c>
      <c r="C27" s="8">
        <v>0.5</v>
      </c>
      <c r="D27" s="9">
        <f>Tableau23[[#This Row],[Nombre]]*Tableau23[[#This Row],[€]]</f>
        <v>11.5</v>
      </c>
    </row>
    <row r="28" spans="2:7" ht="15.75" x14ac:dyDescent="0.25">
      <c r="B28" s="54">
        <v>3</v>
      </c>
      <c r="C28" s="8">
        <v>1</v>
      </c>
      <c r="D28" s="9">
        <f>Tableau23[[#This Row],[Nombre]]*Tableau23[[#This Row],[€]]</f>
        <v>3</v>
      </c>
      <c r="F28" s="11" t="s">
        <v>46</v>
      </c>
      <c r="G28" s="55">
        <v>4</v>
      </c>
    </row>
    <row r="29" spans="2:7" ht="23.25" x14ac:dyDescent="0.35">
      <c r="B29" s="54">
        <v>8</v>
      </c>
      <c r="C29" s="8">
        <v>2</v>
      </c>
      <c r="D29" s="9">
        <f>Tableau23[[#This Row],[Nombre]]*Tableau23[[#This Row],[€]]</f>
        <v>16</v>
      </c>
      <c r="F29" s="16" t="s">
        <v>4</v>
      </c>
      <c r="G29" s="56">
        <v>51</v>
      </c>
    </row>
    <row r="30" spans="2:7" ht="15.75" x14ac:dyDescent="0.25">
      <c r="B30" s="54">
        <v>6</v>
      </c>
      <c r="C30" s="8">
        <v>5</v>
      </c>
      <c r="D30" s="9">
        <f>Tableau23[[#This Row],[Nombre]]*Tableau23[[#This Row],[€]]</f>
        <v>30</v>
      </c>
    </row>
    <row r="31" spans="2:7" ht="15.75" x14ac:dyDescent="0.25">
      <c r="B31" s="54">
        <v>3</v>
      </c>
      <c r="C31" s="8">
        <v>10</v>
      </c>
      <c r="D31" s="9">
        <f>Tableau23[[#This Row],[Nombre]]*Tableau23[[#This Row],[€]]</f>
        <v>30</v>
      </c>
    </row>
    <row r="32" spans="2:7" ht="15.75" x14ac:dyDescent="0.25">
      <c r="B32" s="54">
        <v>3</v>
      </c>
      <c r="C32" s="8">
        <v>20</v>
      </c>
      <c r="D32" s="9">
        <f>Tableau23[[#This Row],[Nombre]]*Tableau23[[#This Row],[€]]</f>
        <v>60</v>
      </c>
    </row>
    <row r="33" spans="2:4" ht="15.75" x14ac:dyDescent="0.25">
      <c r="B33" s="54">
        <v>2</v>
      </c>
      <c r="C33" s="8">
        <v>50</v>
      </c>
      <c r="D33" s="9">
        <f>Tableau23[[#This Row],[Nombre]]*Tableau23[[#This Row],[€]]</f>
        <v>100</v>
      </c>
    </row>
    <row r="34" spans="2:4" ht="15.75" x14ac:dyDescent="0.25">
      <c r="B34" s="54"/>
      <c r="C34" s="8">
        <v>100</v>
      </c>
      <c r="D34" s="9">
        <f>Tableau23[[#This Row],[Nombre]]*Tableau23[[#This Row],[€]]</f>
        <v>0</v>
      </c>
    </row>
    <row r="35" spans="2:4" ht="15.75" x14ac:dyDescent="0.25">
      <c r="B35" s="54"/>
      <c r="C35" s="8">
        <v>200</v>
      </c>
      <c r="D35" s="9">
        <f>Tableau23[[#This Row],[Nombre]]*Tableau23[[#This Row],[€]]</f>
        <v>0</v>
      </c>
    </row>
    <row r="36" spans="2:4" ht="15.75" x14ac:dyDescent="0.25">
      <c r="B36" s="54">
        <v>2</v>
      </c>
      <c r="C36" s="8">
        <v>500</v>
      </c>
      <c r="D36" s="9">
        <f>Tableau23[[#This Row],[Nombre]]*Tableau23[[#This Row],[€]]</f>
        <v>1000</v>
      </c>
    </row>
    <row r="37" spans="2:4" ht="21" x14ac:dyDescent="0.35">
      <c r="B37" s="98" t="s">
        <v>37</v>
      </c>
      <c r="C37" s="98"/>
      <c r="D37" s="17">
        <f>SUM(Tableau23[Total])</f>
        <v>1251.05</v>
      </c>
    </row>
  </sheetData>
  <sheetProtection sheet="1" objects="1" scenarios="1"/>
  <mergeCells count="1">
    <mergeCell ref="B37:C37"/>
  </mergeCells>
  <conditionalFormatting sqref="G24">
    <cfRule type="cellIs" dxfId="10" priority="1" operator="greaterThan">
      <formula>10</formula>
    </cfRule>
    <cfRule type="cellIs" dxfId="9" priority="2" operator="equal">
      <formula>0</formula>
    </cfRule>
    <cfRule type="cellIs" dxfId="8" priority="3" operator="between">
      <formula>0</formula>
      <formula>10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Scroll Bar 1">
              <controlPr defaultSize="0" autoPict="0" macro="[0]!Barrededéfilement1_QuandChangement">
                <anchor moveWithCells="1">
                  <from>
                    <xdr:col>1</xdr:col>
                    <xdr:colOff>47625</xdr:colOff>
                    <xdr:row>13</xdr:row>
                    <xdr:rowOff>85725</xdr:rowOff>
                  </from>
                  <to>
                    <xdr:col>5</xdr:col>
                    <xdr:colOff>114300</xdr:colOff>
                    <xdr:row>15</xdr:row>
                    <xdr:rowOff>76200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9:I40"/>
  <sheetViews>
    <sheetView showGridLines="0" topLeftCell="A10" workbookViewId="0">
      <selection activeCell="L18" sqref="L18"/>
    </sheetView>
  </sheetViews>
  <sheetFormatPr baseColWidth="10" defaultRowHeight="15" x14ac:dyDescent="0.25"/>
  <cols>
    <col min="1" max="1" width="11.28515625" style="6" customWidth="1"/>
    <col min="2" max="2" width="13" style="6" customWidth="1"/>
    <col min="3" max="3" width="12.5703125" style="18" customWidth="1"/>
    <col min="4" max="4" width="17" style="23" customWidth="1"/>
    <col min="5" max="5" width="15.42578125" style="26" customWidth="1"/>
    <col min="6" max="6" width="12.5703125" style="23" customWidth="1"/>
    <col min="7" max="7" width="15.42578125" style="23" bestFit="1" customWidth="1"/>
    <col min="8" max="8" width="15" style="23" bestFit="1" customWidth="1"/>
    <col min="9" max="9" width="28.28515625" style="19" customWidth="1"/>
    <col min="10" max="10" width="7" style="6" customWidth="1"/>
    <col min="11" max="16384" width="11.42578125" style="6"/>
  </cols>
  <sheetData>
    <row r="9" spans="2:9" ht="23.25" x14ac:dyDescent="0.25">
      <c r="G9" s="99" t="s">
        <v>111</v>
      </c>
      <c r="H9" s="99"/>
    </row>
    <row r="11" spans="2:9" s="18" customFormat="1" x14ac:dyDescent="0.25">
      <c r="D11" s="21"/>
      <c r="F11" s="21"/>
      <c r="G11" s="21"/>
      <c r="H11" s="21"/>
      <c r="I11" s="19"/>
    </row>
    <row r="13" spans="2:9" ht="30" x14ac:dyDescent="0.25">
      <c r="B13" s="18" t="s">
        <v>7</v>
      </c>
      <c r="C13" s="18" t="s">
        <v>105</v>
      </c>
      <c r="D13" s="21" t="s">
        <v>106</v>
      </c>
      <c r="E13" s="18" t="s">
        <v>107</v>
      </c>
      <c r="F13" s="21" t="s">
        <v>108</v>
      </c>
      <c r="G13" s="21" t="s">
        <v>109</v>
      </c>
      <c r="H13" s="21" t="s">
        <v>110</v>
      </c>
      <c r="I13" s="21" t="s">
        <v>51</v>
      </c>
    </row>
    <row r="14" spans="2:9" x14ac:dyDescent="0.25">
      <c r="B14" s="29">
        <v>41368</v>
      </c>
      <c r="C14" s="18">
        <v>5</v>
      </c>
      <c r="D14" s="23">
        <v>200</v>
      </c>
      <c r="E14" s="26">
        <v>2</v>
      </c>
      <c r="F14" s="23">
        <v>32</v>
      </c>
      <c r="G14" s="23">
        <v>32</v>
      </c>
      <c r="H14" s="23">
        <f t="shared" ref="H14:H19" si="0">IF(ISERROR(H13+G14),G14,H13+G14)</f>
        <v>32</v>
      </c>
      <c r="I14" s="22"/>
    </row>
    <row r="15" spans="2:9" x14ac:dyDescent="0.25">
      <c r="B15" s="29">
        <v>41390</v>
      </c>
      <c r="C15" s="18">
        <v>5</v>
      </c>
      <c r="D15" s="23">
        <v>246.2</v>
      </c>
      <c r="E15" s="26">
        <v>2</v>
      </c>
      <c r="F15" s="23">
        <v>32</v>
      </c>
      <c r="G15" s="23">
        <v>78.199999999999989</v>
      </c>
      <c r="H15" s="23">
        <f t="shared" si="0"/>
        <v>110.19999999999999</v>
      </c>
      <c r="I15" s="22"/>
    </row>
    <row r="16" spans="2:9" x14ac:dyDescent="0.25">
      <c r="B16" s="29">
        <v>41391</v>
      </c>
      <c r="C16" s="18">
        <v>1</v>
      </c>
      <c r="D16" s="23">
        <v>200.2</v>
      </c>
      <c r="E16" s="26">
        <v>2</v>
      </c>
      <c r="F16" s="23">
        <v>32</v>
      </c>
      <c r="G16" s="23">
        <v>32.199999999999989</v>
      </c>
      <c r="H16" s="23">
        <f t="shared" si="0"/>
        <v>142.39999999999998</v>
      </c>
      <c r="I16" s="22"/>
    </row>
    <row r="17" spans="1:9" x14ac:dyDescent="0.25">
      <c r="B17" s="29">
        <v>41392</v>
      </c>
      <c r="C17" s="18">
        <v>4</v>
      </c>
      <c r="D17" s="23">
        <v>318.7</v>
      </c>
      <c r="E17" s="26">
        <v>2</v>
      </c>
      <c r="F17" s="23">
        <v>32</v>
      </c>
      <c r="G17" s="23">
        <v>150.69999999999999</v>
      </c>
      <c r="H17" s="23">
        <f t="shared" si="0"/>
        <v>293.09999999999997</v>
      </c>
      <c r="I17" s="22"/>
    </row>
    <row r="18" spans="1:9" x14ac:dyDescent="0.25">
      <c r="B18" s="29">
        <v>41397</v>
      </c>
      <c r="C18" s="18">
        <v>4</v>
      </c>
      <c r="D18" s="23">
        <v>318.7</v>
      </c>
      <c r="E18" s="26">
        <v>2</v>
      </c>
      <c r="F18" s="23">
        <v>32</v>
      </c>
      <c r="G18" s="23">
        <v>150.69999999999999</v>
      </c>
      <c r="H18" s="23">
        <f t="shared" si="0"/>
        <v>443.79999999999995</v>
      </c>
      <c r="I18" s="22"/>
    </row>
    <row r="19" spans="1:9" x14ac:dyDescent="0.25">
      <c r="B19" s="29">
        <v>41399</v>
      </c>
      <c r="C19" s="18">
        <v>1</v>
      </c>
      <c r="D19" s="23">
        <v>1251.04</v>
      </c>
      <c r="E19" s="26">
        <v>4</v>
      </c>
      <c r="F19" s="23">
        <v>51</v>
      </c>
      <c r="G19" s="23">
        <v>1102.04</v>
      </c>
      <c r="H19" s="23">
        <f t="shared" si="0"/>
        <v>1545.84</v>
      </c>
      <c r="I19" s="22"/>
    </row>
    <row r="20" spans="1:9" x14ac:dyDescent="0.25">
      <c r="B20" s="29">
        <v>41393</v>
      </c>
      <c r="C20" s="18">
        <v>4</v>
      </c>
      <c r="D20" s="23">
        <v>1251.05</v>
      </c>
      <c r="E20" s="26">
        <v>4</v>
      </c>
      <c r="F20" s="23">
        <v>51</v>
      </c>
      <c r="G20" s="23">
        <v>1102.05</v>
      </c>
      <c r="H20" s="23">
        <f>IF(ISERROR(H19+G20),G20,H19+G20)</f>
        <v>2647.89</v>
      </c>
      <c r="I20" s="22"/>
    </row>
    <row r="21" spans="1:9" x14ac:dyDescent="0.25">
      <c r="B21" s="29">
        <v>41396</v>
      </c>
      <c r="C21" s="18">
        <v>4</v>
      </c>
      <c r="D21" s="23">
        <v>1251.05</v>
      </c>
      <c r="E21" s="26">
        <v>4</v>
      </c>
      <c r="F21" s="23">
        <v>51</v>
      </c>
      <c r="G21" s="23">
        <v>1102.05</v>
      </c>
      <c r="H21" s="23">
        <f>IF(ISERROR(H20+G21),G21,H20+G21)</f>
        <v>3749.9399999999996</v>
      </c>
      <c r="I21" s="22" t="s">
        <v>171</v>
      </c>
    </row>
    <row r="23" spans="1:9" x14ac:dyDescent="0.25">
      <c r="C23" s="58"/>
      <c r="D23"/>
      <c r="E23" s="49"/>
      <c r="F23"/>
    </row>
    <row r="24" spans="1:9" x14ac:dyDescent="0.25">
      <c r="C24" s="58"/>
      <c r="D24"/>
      <c r="E24" s="49"/>
      <c r="F24"/>
    </row>
    <row r="25" spans="1:9" x14ac:dyDescent="0.25">
      <c r="C25" s="58"/>
    </row>
    <row r="26" spans="1:9" x14ac:dyDescent="0.25">
      <c r="C26" s="58"/>
    </row>
    <row r="27" spans="1:9" x14ac:dyDescent="0.25">
      <c r="C27" s="58"/>
    </row>
    <row r="28" spans="1:9" x14ac:dyDescent="0.25">
      <c r="A28"/>
      <c r="C28" s="58"/>
    </row>
    <row r="29" spans="1:9" x14ac:dyDescent="0.25">
      <c r="A29"/>
      <c r="C29" s="58"/>
    </row>
    <row r="30" spans="1:9" x14ac:dyDescent="0.25">
      <c r="A30"/>
      <c r="B30"/>
      <c r="C30" s="58"/>
    </row>
    <row r="31" spans="1:9" x14ac:dyDescent="0.25">
      <c r="A31"/>
      <c r="B31"/>
      <c r="C31" s="58"/>
    </row>
    <row r="32" spans="1:9" x14ac:dyDescent="0.25">
      <c r="A32"/>
      <c r="B32"/>
      <c r="C32" s="58"/>
    </row>
    <row r="33" spans="1:3" x14ac:dyDescent="0.25">
      <c r="A33"/>
      <c r="B33"/>
      <c r="C33" s="58"/>
    </row>
    <row r="34" spans="1:3" x14ac:dyDescent="0.25">
      <c r="A34"/>
      <c r="B34"/>
      <c r="C34" s="58"/>
    </row>
    <row r="35" spans="1:3" x14ac:dyDescent="0.25">
      <c r="A35"/>
      <c r="B35"/>
      <c r="C35" s="58"/>
    </row>
    <row r="36" spans="1:3" x14ac:dyDescent="0.25">
      <c r="A36"/>
      <c r="B36"/>
      <c r="C36" s="58"/>
    </row>
    <row r="37" spans="1:3" x14ac:dyDescent="0.25">
      <c r="A37"/>
      <c r="B37"/>
      <c r="C37" s="58"/>
    </row>
    <row r="38" spans="1:3" x14ac:dyDescent="0.25">
      <c r="A38"/>
      <c r="B38"/>
      <c r="C38" s="58"/>
    </row>
    <row r="39" spans="1:3" x14ac:dyDescent="0.25">
      <c r="B39"/>
      <c r="C39" s="58"/>
    </row>
    <row r="40" spans="1:3" x14ac:dyDescent="0.25">
      <c r="B40"/>
      <c r="C40" s="58"/>
    </row>
  </sheetData>
  <mergeCells count="1">
    <mergeCell ref="G9:H9"/>
  </mergeCell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G8"/>
  <sheetViews>
    <sheetView showGridLines="0" zoomScale="90" zoomScaleNormal="90" workbookViewId="0">
      <selection activeCell="J5" sqref="J5"/>
    </sheetView>
  </sheetViews>
  <sheetFormatPr baseColWidth="10" defaultColWidth="14" defaultRowHeight="15" x14ac:dyDescent="0.25"/>
  <cols>
    <col min="7" max="7" width="21" bestFit="1" customWidth="1"/>
    <col min="8" max="8" width="22.85546875" bestFit="1" customWidth="1"/>
  </cols>
  <sheetData>
    <row r="8" spans="7:7" ht="23.25" x14ac:dyDescent="0.35">
      <c r="G8" s="2" t="s">
        <v>41</v>
      </c>
    </row>
  </sheetData>
  <sheetProtection sheet="1" objects="1" scenarios="1"/>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B22"/>
  <sheetViews>
    <sheetView workbookViewId="0">
      <selection activeCell="B23" sqref="B23"/>
    </sheetView>
  </sheetViews>
  <sheetFormatPr baseColWidth="10" defaultRowHeight="15" x14ac:dyDescent="0.25"/>
  <cols>
    <col min="1" max="1" width="19.7109375" customWidth="1"/>
    <col min="2" max="2" width="22" customWidth="1"/>
  </cols>
  <sheetData>
    <row r="1" spans="1:2" x14ac:dyDescent="0.25">
      <c r="A1" t="s">
        <v>10</v>
      </c>
    </row>
    <row r="3" spans="1:2" x14ac:dyDescent="0.25">
      <c r="A3">
        <v>1</v>
      </c>
      <c r="B3" t="s">
        <v>11</v>
      </c>
    </row>
    <row r="4" spans="1:2" x14ac:dyDescent="0.25">
      <c r="A4">
        <v>2</v>
      </c>
      <c r="B4" t="s">
        <v>12</v>
      </c>
    </row>
    <row r="5" spans="1:2" x14ac:dyDescent="0.25">
      <c r="A5">
        <v>3</v>
      </c>
      <c r="B5" t="s">
        <v>29</v>
      </c>
    </row>
    <row r="6" spans="1:2" x14ac:dyDescent="0.25">
      <c r="A6">
        <v>4</v>
      </c>
      <c r="B6" t="s">
        <v>28</v>
      </c>
    </row>
    <row r="7" spans="1:2" x14ac:dyDescent="0.25">
      <c r="A7">
        <v>5</v>
      </c>
      <c r="B7" t="s">
        <v>27</v>
      </c>
    </row>
    <row r="8" spans="1:2" x14ac:dyDescent="0.25">
      <c r="A8">
        <v>6</v>
      </c>
      <c r="B8" t="s">
        <v>26</v>
      </c>
    </row>
    <row r="9" spans="1:2" x14ac:dyDescent="0.25">
      <c r="A9">
        <v>7</v>
      </c>
      <c r="B9" t="s">
        <v>25</v>
      </c>
    </row>
    <row r="10" spans="1:2" x14ac:dyDescent="0.25">
      <c r="A10">
        <v>8</v>
      </c>
      <c r="B10" t="s">
        <v>24</v>
      </c>
    </row>
    <row r="11" spans="1:2" x14ac:dyDescent="0.25">
      <c r="A11">
        <v>9</v>
      </c>
      <c r="B11" t="s">
        <v>23</v>
      </c>
    </row>
    <row r="12" spans="1:2" x14ac:dyDescent="0.25">
      <c r="A12">
        <v>10</v>
      </c>
      <c r="B12" t="s">
        <v>22</v>
      </c>
    </row>
    <row r="13" spans="1:2" x14ac:dyDescent="0.25">
      <c r="A13">
        <v>11</v>
      </c>
      <c r="B13" t="s">
        <v>20</v>
      </c>
    </row>
    <row r="14" spans="1:2" x14ac:dyDescent="0.25">
      <c r="A14">
        <v>12</v>
      </c>
      <c r="B14" t="s">
        <v>19</v>
      </c>
    </row>
    <row r="15" spans="1:2" x14ac:dyDescent="0.25">
      <c r="A15">
        <v>13</v>
      </c>
      <c r="B15" t="s">
        <v>21</v>
      </c>
    </row>
    <row r="16" spans="1:2" x14ac:dyDescent="0.25">
      <c r="A16">
        <v>14</v>
      </c>
      <c r="B16" t="s">
        <v>18</v>
      </c>
    </row>
    <row r="17" spans="1:2" x14ac:dyDescent="0.25">
      <c r="A17">
        <v>15</v>
      </c>
      <c r="B17" t="s">
        <v>17</v>
      </c>
    </row>
    <row r="18" spans="1:2" x14ac:dyDescent="0.25">
      <c r="A18">
        <v>16</v>
      </c>
      <c r="B18" t="s">
        <v>16</v>
      </c>
    </row>
    <row r="19" spans="1:2" x14ac:dyDescent="0.25">
      <c r="A19">
        <v>17</v>
      </c>
      <c r="B19" t="s">
        <v>15</v>
      </c>
    </row>
    <row r="20" spans="1:2" x14ac:dyDescent="0.25">
      <c r="A20">
        <v>18</v>
      </c>
      <c r="B20" t="s">
        <v>14</v>
      </c>
    </row>
    <row r="21" spans="1:2" x14ac:dyDescent="0.25">
      <c r="A21">
        <v>19</v>
      </c>
      <c r="B21" t="s">
        <v>13</v>
      </c>
    </row>
    <row r="22" spans="1:2" x14ac:dyDescent="0.25">
      <c r="A22">
        <v>20</v>
      </c>
      <c r="B22" t="s">
        <v>174</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I43"/>
  <sheetViews>
    <sheetView topLeftCell="B28" workbookViewId="0">
      <selection activeCell="F43" sqref="F43"/>
    </sheetView>
  </sheetViews>
  <sheetFormatPr baseColWidth="10" defaultRowHeight="15" x14ac:dyDescent="0.25"/>
  <cols>
    <col min="1" max="1" width="15.28515625" customWidth="1"/>
    <col min="2" max="2" width="8.85546875" customWidth="1"/>
    <col min="3" max="3" width="3" customWidth="1"/>
    <col min="4" max="4" width="5" customWidth="1"/>
    <col min="5" max="5" width="4" customWidth="1"/>
    <col min="6" max="6" width="12.5703125" bestFit="1" customWidth="1"/>
    <col min="8" max="8" width="21" customWidth="1"/>
    <col min="9" max="9" width="15.28515625" customWidth="1"/>
    <col min="10" max="10" width="2" customWidth="1"/>
    <col min="11" max="13" width="3" customWidth="1"/>
    <col min="14" max="14" width="5" customWidth="1"/>
    <col min="15" max="15" width="9.7109375" customWidth="1"/>
    <col min="16" max="16" width="12.5703125" bestFit="1" customWidth="1"/>
  </cols>
  <sheetData>
    <row r="1" spans="1:9" x14ac:dyDescent="0.25">
      <c r="A1" s="33" t="s">
        <v>113</v>
      </c>
      <c r="B1" t="s">
        <v>114</v>
      </c>
    </row>
    <row r="2" spans="1:9" x14ac:dyDescent="0.25">
      <c r="A2" s="34">
        <v>1</v>
      </c>
      <c r="B2" s="32">
        <v>567.12</v>
      </c>
    </row>
    <row r="3" spans="1:9" x14ac:dyDescent="0.25">
      <c r="A3" s="34">
        <v>4</v>
      </c>
      <c r="B3" s="32">
        <v>467.81666666666661</v>
      </c>
    </row>
    <row r="4" spans="1:9" x14ac:dyDescent="0.25">
      <c r="A4" s="34">
        <v>5</v>
      </c>
      <c r="B4" s="32">
        <v>55.099999999999994</v>
      </c>
    </row>
    <row r="5" spans="1:9" x14ac:dyDescent="0.25">
      <c r="A5" s="34" t="s">
        <v>112</v>
      </c>
      <c r="B5" s="32">
        <v>378.27</v>
      </c>
    </row>
    <row r="10" spans="1:9" x14ac:dyDescent="0.25">
      <c r="A10" s="33" t="s">
        <v>9</v>
      </c>
      <c r="B10" t="s">
        <v>115</v>
      </c>
    </row>
    <row r="11" spans="1:9" x14ac:dyDescent="0.25">
      <c r="A11" s="33" t="s">
        <v>117</v>
      </c>
      <c r="B11" t="s">
        <v>115</v>
      </c>
    </row>
    <row r="13" spans="1:9" x14ac:dyDescent="0.25">
      <c r="A13" s="33" t="s">
        <v>113</v>
      </c>
      <c r="B13" t="s">
        <v>116</v>
      </c>
    </row>
    <row r="14" spans="1:9" x14ac:dyDescent="0.25">
      <c r="A14" s="34" t="s">
        <v>131</v>
      </c>
      <c r="B14" s="32">
        <v>52.5</v>
      </c>
      <c r="H14" s="34"/>
      <c r="I14" s="32"/>
    </row>
    <row r="15" spans="1:9" x14ac:dyDescent="0.25">
      <c r="A15" s="34" t="s">
        <v>118</v>
      </c>
      <c r="B15" s="32">
        <v>5.2899999999999991</v>
      </c>
      <c r="H15" s="34"/>
      <c r="I15" s="32"/>
    </row>
    <row r="16" spans="1:9" x14ac:dyDescent="0.25">
      <c r="A16" s="34" t="s">
        <v>129</v>
      </c>
      <c r="B16" s="32">
        <v>10</v>
      </c>
      <c r="H16" s="34"/>
      <c r="I16" s="32"/>
    </row>
    <row r="17" spans="1:9" x14ac:dyDescent="0.25">
      <c r="A17" s="34" t="s">
        <v>133</v>
      </c>
      <c r="B17" s="32">
        <v>220</v>
      </c>
      <c r="H17" s="34"/>
      <c r="I17" s="32"/>
    </row>
    <row r="18" spans="1:9" x14ac:dyDescent="0.25">
      <c r="A18" s="34" t="s">
        <v>162</v>
      </c>
      <c r="B18" s="32">
        <v>9</v>
      </c>
      <c r="H18" s="34"/>
      <c r="I18" s="32"/>
    </row>
    <row r="19" spans="1:9" x14ac:dyDescent="0.25">
      <c r="A19" s="34" t="s">
        <v>112</v>
      </c>
      <c r="B19" s="32">
        <v>296.78999999999996</v>
      </c>
      <c r="H19" s="34"/>
      <c r="I19" s="32"/>
    </row>
    <row r="22" spans="1:9" x14ac:dyDescent="0.25">
      <c r="A22" s="33" t="s">
        <v>117</v>
      </c>
      <c r="B22" t="s">
        <v>115</v>
      </c>
    </row>
    <row r="23" spans="1:9" x14ac:dyDescent="0.25">
      <c r="A23" s="33" t="s">
        <v>9</v>
      </c>
      <c r="B23" t="s">
        <v>115</v>
      </c>
    </row>
    <row r="25" spans="1:9" x14ac:dyDescent="0.25">
      <c r="A25" s="33" t="s">
        <v>113</v>
      </c>
      <c r="B25" t="s">
        <v>116</v>
      </c>
    </row>
    <row r="26" spans="1:9" x14ac:dyDescent="0.25">
      <c r="A26" s="34" t="s">
        <v>58</v>
      </c>
      <c r="B26" s="32">
        <v>55.29</v>
      </c>
    </row>
    <row r="27" spans="1:9" x14ac:dyDescent="0.25">
      <c r="A27" s="34" t="s">
        <v>65</v>
      </c>
      <c r="B27" s="32">
        <v>131</v>
      </c>
    </row>
    <row r="28" spans="1:9" x14ac:dyDescent="0.25">
      <c r="A28" s="34" t="s">
        <v>148</v>
      </c>
      <c r="B28" s="32">
        <v>79.5</v>
      </c>
    </row>
    <row r="29" spans="1:9" x14ac:dyDescent="0.25">
      <c r="A29" s="34" t="s">
        <v>73</v>
      </c>
      <c r="B29" s="32">
        <v>10</v>
      </c>
    </row>
    <row r="30" spans="1:9" x14ac:dyDescent="0.25">
      <c r="A30" s="34" t="s">
        <v>151</v>
      </c>
      <c r="B30" s="32">
        <v>21</v>
      </c>
    </row>
    <row r="31" spans="1:9" x14ac:dyDescent="0.25">
      <c r="A31" s="34" t="s">
        <v>112</v>
      </c>
      <c r="B31" s="32">
        <v>296.78999999999996</v>
      </c>
    </row>
    <row r="34" spans="1:6" x14ac:dyDescent="0.25">
      <c r="A34" s="33" t="s">
        <v>116</v>
      </c>
      <c r="B34" s="33" t="s">
        <v>161</v>
      </c>
    </row>
    <row r="35" spans="1:6" x14ac:dyDescent="0.25">
      <c r="A35" s="33" t="s">
        <v>113</v>
      </c>
      <c r="B35">
        <v>1</v>
      </c>
      <c r="C35">
        <v>2</v>
      </c>
      <c r="D35">
        <v>3</v>
      </c>
      <c r="E35">
        <v>4</v>
      </c>
      <c r="F35" t="s">
        <v>112</v>
      </c>
    </row>
    <row r="36" spans="1:6" x14ac:dyDescent="0.25">
      <c r="A36" s="34" t="s">
        <v>160</v>
      </c>
      <c r="B36" s="32"/>
      <c r="C36" s="32"/>
      <c r="D36" s="32"/>
      <c r="E36" s="32">
        <v>40</v>
      </c>
      <c r="F36" s="32">
        <v>40</v>
      </c>
    </row>
    <row r="37" spans="1:6" x14ac:dyDescent="0.25">
      <c r="A37" s="48" t="s">
        <v>158</v>
      </c>
      <c r="B37" s="32"/>
      <c r="C37" s="32"/>
      <c r="D37" s="32"/>
      <c r="E37" s="32">
        <v>40</v>
      </c>
      <c r="F37" s="32">
        <v>40</v>
      </c>
    </row>
    <row r="38" spans="1:6" x14ac:dyDescent="0.25">
      <c r="A38" s="34" t="s">
        <v>159</v>
      </c>
      <c r="B38" s="32">
        <v>5.2899999999999991</v>
      </c>
      <c r="C38" s="32">
        <v>19</v>
      </c>
      <c r="D38" s="32">
        <v>52.5</v>
      </c>
      <c r="E38" s="32">
        <v>180</v>
      </c>
      <c r="F38" s="32">
        <v>256.79000000000002</v>
      </c>
    </row>
    <row r="39" spans="1:6" x14ac:dyDescent="0.25">
      <c r="A39" s="48" t="s">
        <v>154</v>
      </c>
      <c r="B39" s="32"/>
      <c r="C39" s="32"/>
      <c r="D39" s="32">
        <v>11</v>
      </c>
      <c r="E39" s="32"/>
      <c r="F39" s="32">
        <v>11</v>
      </c>
    </row>
    <row r="40" spans="1:6" x14ac:dyDescent="0.25">
      <c r="A40" s="48" t="s">
        <v>155</v>
      </c>
      <c r="B40" s="32">
        <v>2.76</v>
      </c>
      <c r="C40" s="32"/>
      <c r="D40" s="32"/>
      <c r="E40" s="32"/>
      <c r="F40" s="32">
        <v>2.76</v>
      </c>
    </row>
    <row r="41" spans="1:6" x14ac:dyDescent="0.25">
      <c r="A41" s="48" t="s">
        <v>156</v>
      </c>
      <c r="B41" s="32"/>
      <c r="C41" s="32">
        <v>14</v>
      </c>
      <c r="D41" s="32">
        <v>20.5</v>
      </c>
      <c r="E41" s="32">
        <v>60</v>
      </c>
      <c r="F41" s="32">
        <v>94.5</v>
      </c>
    </row>
    <row r="42" spans="1:6" x14ac:dyDescent="0.25">
      <c r="A42" s="48" t="s">
        <v>157</v>
      </c>
      <c r="B42" s="32">
        <v>2.5299999999999998</v>
      </c>
      <c r="C42" s="32">
        <v>5</v>
      </c>
      <c r="D42" s="32">
        <v>21</v>
      </c>
      <c r="E42" s="32">
        <v>120</v>
      </c>
      <c r="F42" s="32">
        <v>148.53</v>
      </c>
    </row>
    <row r="43" spans="1:6" x14ac:dyDescent="0.25">
      <c r="A43" s="34" t="s">
        <v>112</v>
      </c>
      <c r="B43" s="32">
        <v>5.2899999999999991</v>
      </c>
      <c r="C43" s="32">
        <v>19</v>
      </c>
      <c r="D43" s="32">
        <v>52.5</v>
      </c>
      <c r="E43" s="32">
        <v>220</v>
      </c>
      <c r="F43" s="32">
        <v>296.78999999999996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5"/>
  <sheetViews>
    <sheetView workbookViewId="0">
      <selection activeCell="D15" sqref="D15"/>
    </sheetView>
  </sheetViews>
  <sheetFormatPr baseColWidth="10" defaultRowHeight="15" x14ac:dyDescent="0.25"/>
  <cols>
    <col min="1" max="1" width="15.28515625" bestFit="1" customWidth="1"/>
    <col min="2" max="2" width="8.85546875" bestFit="1" customWidth="1"/>
  </cols>
  <sheetData>
    <row r="1" spans="1:2" x14ac:dyDescent="0.25">
      <c r="A1" s="33" t="s">
        <v>153</v>
      </c>
      <c r="B1" t="s">
        <v>115</v>
      </c>
    </row>
    <row r="2" spans="1:2" x14ac:dyDescent="0.25">
      <c r="A2" s="33" t="s">
        <v>117</v>
      </c>
      <c r="B2" t="s">
        <v>115</v>
      </c>
    </row>
    <row r="4" spans="1:2" x14ac:dyDescent="0.25">
      <c r="A4" t="s">
        <v>116</v>
      </c>
    </row>
    <row r="5" spans="1:2" x14ac:dyDescent="0.25">
      <c r="A5" s="32">
        <v>296.78999999999996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1</vt:i4>
      </vt:variant>
    </vt:vector>
  </HeadingPairs>
  <TitlesOfParts>
    <vt:vector size="15" baseType="lpstr">
      <vt:lpstr>Menu</vt:lpstr>
      <vt:lpstr>Gestion des produits</vt:lpstr>
      <vt:lpstr>Gestion des fournisseurs</vt:lpstr>
      <vt:lpstr>Gestion des stocks</vt:lpstr>
      <vt:lpstr>Journal des achats</vt:lpstr>
      <vt:lpstr>Journal des ventes</vt:lpstr>
      <vt:lpstr>Vue des stocks</vt:lpstr>
      <vt:lpstr>Budget Mensuel</vt:lpstr>
      <vt:lpstr>Fiche de caisse</vt:lpstr>
      <vt:lpstr>Historique journée</vt:lpstr>
      <vt:lpstr>Tableau de bord</vt:lpstr>
      <vt:lpstr>Code caisse</vt:lpstr>
      <vt:lpstr>TableauxDynamiques</vt:lpstr>
      <vt:lpstr>BudgetDynamique</vt:lpstr>
      <vt:lpstr>ZoneProduits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Claire</dc:creator>
  <cp:lastModifiedBy>marine mansier</cp:lastModifiedBy>
  <dcterms:created xsi:type="dcterms:W3CDTF">2013-04-08T14:38:55Z</dcterms:created>
  <dcterms:modified xsi:type="dcterms:W3CDTF">2013-05-03T13:23:49Z</dcterms:modified>
</cp:coreProperties>
</file>