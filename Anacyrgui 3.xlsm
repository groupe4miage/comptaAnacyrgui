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30" windowWidth="14115" windowHeight="7230" tabRatio="932" firstSheet="7" activeTab="7"/>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Code caisse" sheetId="9" r:id="rId12"/>
    <sheet name="TableauxDynamiques" sheetId="20" r:id="rId13"/>
    <sheet name="BudgetDynamique" sheetId="21" r:id="rId14"/>
  </sheets>
  <definedNames>
    <definedName name="Segment_Année">#N/A</definedName>
    <definedName name="Segment_Année1">#N/A</definedName>
    <definedName name="Segment_Code_caisse">#N/A</definedName>
    <definedName name="Segment_Mois">#N/A</definedName>
    <definedName name="Segment_Mois1">#N/A</definedName>
    <definedName name="ZoneProduits">'Gestion des produits'!$D$15:$G$15376</definedName>
  </definedNames>
  <calcPr calcId="145621"/>
  <pivotCaches>
    <pivotCache cacheId="2" r:id="rId15"/>
    <pivotCache cacheId="3"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2" i="17" l="1"/>
  <c r="I22" i="17"/>
  <c r="K29" i="16"/>
  <c r="N29" i="16"/>
  <c r="O29" i="16"/>
  <c r="C21" i="10"/>
  <c r="C24" i="8"/>
  <c r="C19" i="8"/>
  <c r="I23" i="5"/>
  <c r="J31" i="5" l="1"/>
  <c r="O18" i="16"/>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H21" i="18" s="1"/>
  <c r="C20" i="10"/>
  <c r="C19" i="10"/>
  <c r="C18" i="10"/>
  <c r="C17" i="10"/>
  <c r="C30" i="8"/>
  <c r="C27" i="8"/>
  <c r="C23" i="8"/>
  <c r="C22" i="8"/>
  <c r="C18" i="8"/>
  <c r="C17" i="8"/>
  <c r="C16" i="8"/>
  <c r="J30" i="5" l="1"/>
  <c r="J29" i="5"/>
  <c r="J26" i="5" l="1"/>
  <c r="J35" i="5"/>
  <c r="J36" i="5" s="1"/>
  <c r="J28" i="5"/>
  <c r="J27" i="5"/>
  <c r="J49" i="5"/>
  <c r="J48" i="5"/>
  <c r="J47" i="5"/>
  <c r="J46" i="5"/>
  <c r="J45" i="5"/>
  <c r="J44" i="5"/>
  <c r="J43" i="5"/>
  <c r="J42" i="5"/>
  <c r="J41" i="5"/>
  <c r="J40" i="5"/>
  <c r="J39" i="5"/>
  <c r="I50" i="5"/>
  <c r="H50" i="5"/>
  <c r="I36" i="5"/>
  <c r="H36" i="5"/>
  <c r="I32" i="5"/>
  <c r="D23" i="5" s="1"/>
  <c r="H32" i="5"/>
  <c r="C23" i="5" s="1"/>
  <c r="J25" i="5"/>
  <c r="J24" i="5"/>
  <c r="J23" i="5"/>
  <c r="C24" i="5" l="1"/>
  <c r="C25" i="5" s="1"/>
  <c r="J50" i="5"/>
  <c r="D24" i="5"/>
  <c r="J32" i="5"/>
  <c r="E23" i="5"/>
  <c r="E24" i="5" l="1"/>
  <c r="D25" i="5"/>
  <c r="E25"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<sst xmlns="http://schemas.openxmlformats.org/spreadsheetml/2006/main" count="440" uniqueCount="174">
  <si>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</si>
  <si>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</si>
  <si>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</si>
  <si>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</si>
  <si>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</si>
  <si>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</si>
  <si>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</si>
  <si>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</si>
  <si>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</si>
  <si>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</si>
  <si>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</si>
  <si>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</si>
  <si>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</si>
  <si>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</si>
  <si>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</si>
  <si>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</si>
  <si>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</si>
  <si>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</si>
  <si>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</si>
  <si>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</si>
  <si>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</si>
  <si>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</si>
  <si>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</si>
  <si>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</si>
  <si>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</si>
  <si>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</si>
  <si>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</si>
  <si>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</si>
  <si>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</si>
  <si>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</si>
  <si>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</si>
  <si>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</si>
  <si>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</si>
  <si>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</si>
  <si>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</si>
  <si>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</si>
  <si>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</si>
  <si>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</si>
  <si>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</si>
  <si>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</si>
  <si>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</si>
  <si>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Compte de résultat</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</si>
  <si>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</si>
  <si>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</si>
  <si>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</si>
  <si>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</si>
  <si>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</si>
  <si>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</si>
  <si>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</si>
  <si>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</si>
  <si>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</si>
  <si>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</si>
  <si>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</si>
  <si>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</si>
  <si>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</si>
  <si>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</si>
  <si>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</si>
  <si>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</si>
  <si>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</si>
  <si>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</si>
  <si>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</si>
  <si>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</si>
  <si>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</si>
  <si>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</si>
  <si>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</si>
  <si>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</si>
  <si>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</si>
  <si>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</si>
  <si>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</si>
  <si>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</si>
  <si>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</si>
  <si>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</si>
  <si>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</si>
  <si>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</si>
  <si>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</si>
  <si>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</si>
  <si>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</si>
  <si>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</si>
  <si>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</si>
  <si>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</si>
  <si>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</si>
  <si>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</si>
  <si>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</si>
  <si>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</si>
  <si>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</si>
  <si>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</si>
  <si>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</si>
  <si>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</si>
  <si>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</si>
  <si>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</si>
  <si>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</si>
  <si>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</si>
  <si>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</si>
  <si>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</si>
  <si>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</si>
  <si>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</si>
  <si>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</si>
  <si>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</si>
  <si>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</si>
  <si>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</si>
  <si>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</si>
  <si>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</si>
  <si>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</si>
  <si>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</si>
  <si>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</si>
  <si>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</si>
  <si>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</si>
  <si>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</si>
  <si>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</si>
  <si>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</si>
  <si>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</si>
  <si>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</si>
  <si>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</si>
  <si>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</si>
  <si>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</si>
  <si>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</si>
  <si>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</si>
  <si>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</si>
  <si>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</si>
  <si>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</si>
  <si>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</si>
  <si>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</si>
  <si>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</si>
  <si>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</si>
  <si>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</si>
  <si>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</si>
  <si>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</si>
  <si>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</si>
  <si>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</si>
  <si>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</si>
  <si>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</si>
  <si>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</si>
  <si>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</si>
  <si>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</si>
  <si>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</si>
  <si>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</si>
  <si>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</si>
  <si>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</si>
  <si>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</si>
  <si>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</si>
  <si>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</si>
  <si>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</si>
  <si>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</si>
  <si>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</si>
  <si>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</si>
  <si>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</si>
  <si>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</si>
  <si>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</si>
  <si>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</si>
  <si>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</si>
  <si>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</si>
  <si>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</si>
  <si>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</si>
  <si>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</si>
  <si>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</si>
  <si>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</si>
  <si>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</si>
  <si>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</si>
  <si>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</si>
  <si>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</si>
  <si>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</si>
  <si>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</si>
  <si>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</si>
  <si>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</si>
  <si>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</si>
  <si>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</si>
  <si>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</si>
  <si>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</si>
  <si>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</si>
  <si>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</si>
  <si>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</si>
  <si>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</si>
  <si>
    <t>testttttttttt</t>
  </si>
  <si>
    <t>REEL</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</si>
</sst>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8" formatCode="#,##0.00\ &quot;€&quot;;[Red]\-#,##0.00\ &quot;€&quot;"/>
    <numFmt numFmtId="164" formatCode="&quot;€&quot;#,##0.00_);\(&quot;€&quot;#,##0.00\)"/>
    <numFmt numFmtId="165" formatCode="_(* #,##0.00_);_(* \(#,##0.00\);_(* &quot;-&quot;??_);_(@_)"/>
    <numFmt numFmtId="166" formatCode="#,##0.00\ &quot;€&quot;"/>
    <numFmt numFmtId="167" formatCode="0.0%"/>
    <numFmt numFmtId="168" formatCode="mmmm\ yyyy"/>
    <numFmt numFmtId="169" formatCode="#,##0.00\ _€"/>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99">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165" fontId="0" fillId="0" borderId="0" xfId="2" applyFont="1" applyFill="1" applyBorder="1"/>
    <xf numFmtId="165" fontId="0" fillId="0" borderId="0" xfId="2" applyNumberFormat="1" applyFont="1" applyFill="1" applyBorder="1"/>
    <xf numFmtId="167" fontId="0" fillId="0" borderId="0" xfId="3" applyNumberFormat="1" applyFont="1" applyFill="1" applyBorder="1"/>
    <xf numFmtId="165" fontId="0" fillId="0" borderId="0" xfId="0" applyNumberFormat="1" applyFont="1" applyFill="1" applyBorder="1"/>
    <xf numFmtId="167" fontId="0" fillId="0" borderId="0" xfId="0" applyNumberFormat="1" applyFont="1" applyFill="1" applyBorder="1"/>
    <xf numFmtId="0" fontId="0" fillId="0" borderId="0" xfId="0" applyFill="1" applyAlignment="1">
      <alignment vertical="center"/>
    </xf>
    <xf numFmtId="0" fontId="0" fillId="0" borderId="0" xfId="0" applyFill="1" applyAlignment="1"/>
    <xf numFmtId="9" fontId="0" fillId="0" borderId="0" xfId="3" applyFont="1" applyFill="1" applyAlignment="1">
      <alignment horizontal="right"/>
    </xf>
    <xf numFmtId="0" fontId="14" fillId="0" borderId="0" xfId="0" applyFont="1" applyFill="1" applyAlignment="1">
      <alignment vertical="center"/>
    </xf>
    <xf numFmtId="0" fontId="0" fillId="0" borderId="0" xfId="0" applyFill="1" applyAlignment="1">
      <alignment horizontal="center"/>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8" fontId="0" fillId="0" borderId="0" xfId="0" applyNumberFormat="1" applyAlignment="1">
      <alignment wrapText="1"/>
    </xf>
    <xf numFmtId="168" fontId="0" fillId="0" borderId="0" xfId="0" applyNumberFormat="1" applyAlignment="1">
      <alignment horizontal="center" vertical="center" wrapText="1"/>
    </xf>
    <xf numFmtId="168" fontId="0" fillId="0" borderId="0" xfId="0" applyNumberFormat="1" applyAlignment="1">
      <alignment horizontal="right" vertical="center" wrapText="1"/>
    </xf>
    <xf numFmtId="166" fontId="3" fillId="0" borderId="0" xfId="0" applyNumberFormat="1" applyFont="1" applyAlignment="1">
      <alignment horizontal="left" wrapText="1"/>
    </xf>
    <xf numFmtId="164" fontId="0" fillId="0" borderId="0" xfId="0" applyNumberFormat="1" applyAlignment="1">
      <alignment wrapText="1"/>
    </xf>
    <xf numFmtId="164" fontId="12" fillId="6" borderId="2" xfId="0" applyNumberFormat="1" applyFont="1" applyFill="1" applyBorder="1" applyAlignment="1">
      <alignment horizontal="center" vertical="center" wrapText="1"/>
    </xf>
    <xf numFmtId="164" fontId="0" fillId="7" borderId="2" xfId="0" applyNumberFormat="1" applyFont="1" applyFill="1" applyBorder="1" applyAlignment="1">
      <alignmen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0" fillId="0" borderId="0" xfId="0" applyAlignment="1">
      <alignment horizontal="center"/>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xf numFmtId="0" fontId="0" fillId="0" borderId="0" xfId="0" applyAlignment="1">
      <alignment horizontal="center" vertical="center"/>
    </xf>
    <xf numFmtId="8" fontId="0" fillId="0" borderId="0" xfId="0" applyNumberFormat="1"/>
    <xf numFmtId="8" fontId="0" fillId="0" borderId="0" xfId="0" applyNumberFormat="1" applyFill="1"/>
    <xf numFmtId="8" fontId="0" fillId="0" borderId="0" xfId="0" applyNumberFormat="1" applyFont="1" applyFill="1" applyBorder="1" applyAlignment="1">
      <alignment vertical="center"/>
    </xf>
    <xf numFmtId="8" fontId="0" fillId="0" borderId="0" xfId="2" applyNumberFormat="1" applyFont="1" applyFill="1" applyBorder="1"/>
    <xf numFmtId="8" fontId="0" fillId="0" borderId="0" xfId="0" applyNumberFormat="1" applyFont="1" applyFill="1" applyBorder="1"/>
    <xf numFmtId="8" fontId="0" fillId="0" borderId="0" xfId="0" applyNumberFormat="1" applyFill="1" applyAlignment="1">
      <alignment horizontal="center"/>
    </xf>
    <xf numFmtId="169" fontId="0" fillId="0" borderId="0" xfId="0" applyNumberFormat="1"/>
    <xf numFmtId="169" fontId="0" fillId="0" borderId="0" xfId="0" applyNumberFormat="1" applyFill="1"/>
    <xf numFmtId="169" fontId="0" fillId="0" borderId="0" xfId="0" applyNumberFormat="1" applyFont="1" applyFill="1" applyBorder="1" applyAlignment="1">
      <alignment vertical="center"/>
    </xf>
    <xf numFmtId="169" fontId="0" fillId="0" borderId="0" xfId="2" applyNumberFormat="1" applyFont="1" applyFill="1" applyBorder="1"/>
    <xf numFmtId="169" fontId="0" fillId="0" borderId="0" xfId="0" applyNumberFormat="1" applyFont="1" applyFill="1" applyBorder="1"/>
    <xf numFmtId="169" fontId="0" fillId="0" borderId="0" xfId="0" applyNumberFormat="1" applyFill="1" applyAlignment="1">
      <alignment horizontal="center"/>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lignment horizontal="center"/>
    </xf>
    <xf numFmtId="0" fontId="3" fillId="0" borderId="0" xfId="0" applyFont="1" applyAlignment="1">
      <alignment horizontal="center"/>
    </xf>
    <xf numFmtId="0" fontId="4" fillId="0" borderId="1" xfId="0" applyFont="1" applyBorder="1" applyAlignment="1">
      <alignment horizontal="center"/>
    </xf>
    <xf numFmtId="166" fontId="3" fillId="0" borderId="0" xfId="0" applyNumberFormat="1" applyFont="1" applyAlignment="1">
      <alignment horizontal="center" vertical="center"/>
    </xf>
  </cellXfs>
  <cellStyles count="4">
    <cellStyle name="Lien hypertexte" xfId="1" builtinId="8"/>
    <cellStyle name="Milliers" xfId="2" builtinId="3"/>
    <cellStyle name="Normal" xfId="0" builtinId="0"/>
    <cellStyle name="Pourcentage" xfId="3" builtinId="5"/>
  </cellStyles>
  <dxfs count="269">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2" formatCode="#,##0.00\ &quot;€&quot;;[Red]\-#,##0.00\ &quot;€&quot;"/>
      <fill>
        <patternFill patternType="none">
          <fgColor indexed="64"/>
          <bgColor indexed="65"/>
        </patternFill>
      </fill>
    </dxf>
    <dxf>
      <numFmt numFmtId="169" formatCode="#,##0.00\ _€"/>
      <fill>
        <patternFill patternType="none">
          <fgColor indexed="64"/>
          <bgColor indexed="65"/>
        </patternFill>
      </fill>
    </dxf>
    <dxf>
      <numFmt numFmtId="169" formatCode="#,##0.00\ _€"/>
      <fill>
        <patternFill patternType="none">
          <fgColor indexed="64"/>
          <bgColor indexed="65"/>
        </patternFill>
      </fill>
    </dxf>
    <dxf>
      <fill>
        <patternFill patternType="none">
          <fgColor indexed="64"/>
          <bgColor indexed="65"/>
        </patternFill>
      </fill>
    </dxf>
    <dxf>
      <numFmt numFmtId="169" formatCode="#,##0.00\ _€"/>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2" formatCode="#,##0.00\ &quot;€&quot;;[Red]\-#,##0.00\ &quot;€&quo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font>
        <b/>
        <i val="0"/>
        <color rgb="FFFF9900"/>
      </font>
    </dxf>
    <dxf>
      <font>
        <b/>
        <i val="0"/>
        <color rgb="FF00CC00"/>
      </font>
    </dxf>
    <dxf>
      <font>
        <b/>
        <i val="0"/>
        <color rgb="FFFF0000"/>
      </font>
    </dxf>
    <dxf>
      <numFmt numFmtId="166" formatCode="#,##0.00\ &quot;€&quot;"/>
      <alignment horizontal="right" vertical="center"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alignment horizontal="center" vertical="bottom" textRotation="0" wrapText="0" indent="0" justifyLastLine="0" shrinkToFit="0" readingOrder="0"/>
      <protection locked="0" hidden="0"/>
    </dxf>
    <dxf>
      <font>
        <strike val="0"/>
        <outline val="0"/>
        <shadow val="0"/>
        <u val="none"/>
        <vertAlign val="baseline"/>
        <sz val="12"/>
        <color theme="1"/>
        <name val="Calibri"/>
        <scheme val="minor"/>
      </font>
      <alignment horizontal="center" vertical="center" textRotation="0" wrapText="0" indent="0" justifyLastLine="0" shrinkToFit="0" readingOrder="0"/>
    </dxf>
    <dxf>
      <numFmt numFmtId="12" formatCode="#,##0.00\ &quot;€&quot;;[Red]\-#,##0.00\ &quot;€&quot;"/>
      <fill>
        <patternFill patternType="none">
          <fgColor indexed="64"/>
          <bgColor auto="1"/>
        </patternFill>
      </fill>
    </dxf>
    <dxf>
      <numFmt numFmtId="169" formatCode="#,##0.00\ _€"/>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71" formatCode="\(#,##0.00\);[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numFmt numFmtId="0" formatCode="General"/>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numFmt numFmtId="12" formatCode="#,##0.00\ &quot;€&quot;;[Red]\-#,##0.00\ &quot;€&quot;"/>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2" formatCode="#,##0.00\ &quot;€&quot;;[Red]\-#,##0.00\ &quot;€&quot;"/>
      <fill>
        <patternFill patternType="none">
          <fgColor indexed="64"/>
          <bgColor auto="1"/>
        </patternFill>
      </fill>
    </dxf>
    <dxf>
      <numFmt numFmtId="169" formatCode="#,##0.00\ _€"/>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mmmm\ yyyy"/>
      <alignment horizontal="right" vertical="center" textRotation="0" wrapText="1" indent="0" justifyLastLine="0" shrinkToFit="0" readingOrder="0"/>
    </dxf>
    <dxf>
      <numFmt numFmtId="168"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68"/>
      <tableStyleElement type="headerRow" dxfId="267"/>
      <tableStyleElement type="totalRow" dxfId="266"/>
      <tableStyleElement type="lastColumn" dxfId="265"/>
      <tableStyleElement type="firstRowStripe" dxfId="264"/>
    </tableStyle>
    <tableStyle name="Product Price List Slicer" pivot="0" table="0" count="9">
      <tableStyleElement type="wholeTable" dxfId="263"/>
    </tableStyle>
    <tableStyle name="SlicerStyleDark4 2" pivot="0" table="0" count="10">
      <tableStyleElement type="wholeTable" dxfId="262"/>
      <tableStyleElement type="headerRow" dxfId="261"/>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1"/>
          <c:order val="0"/>
          <c:tx>
            <c:strRef>
              <c:f>'Budget Mensuel'!$B$24</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Mensuel'!$C$24:$D$24</c:f>
              <c:numCache>
                <c:formatCode>General</c:formatCode>
                <c:ptCount val="2"/>
                <c:pt idx="0">
                  <c:v>10600</c:v>
                </c:pt>
                <c:pt idx="1">
                  <c:v>12222</c:v>
                </c:pt>
              </c:numCache>
            </c:numRef>
          </c:val>
        </c:ser>
        <c:ser>
          <c:idx val="0"/>
          <c:order val="1"/>
          <c:tx>
            <c:strRef>
              <c:f>'Budget Mensuel'!$B$23</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Mensuel'!$C$23:$D$23</c:f>
              <c:numCache>
                <c:formatCode>General</c:formatCode>
                <c:ptCount val="2"/>
                <c:pt idx="0">
                  <c:v>73950</c:v>
                </c:pt>
                <c:pt idx="1">
                  <c:v>69296.790000000008</c:v>
                </c:pt>
              </c:numCache>
            </c:numRef>
          </c:val>
        </c:ser>
        <c:dLbls>
          <c:showLegendKey val="0"/>
          <c:showVal val="0"/>
          <c:showCatName val="0"/>
          <c:showSerName val="0"/>
          <c:showPercent val="0"/>
          <c:showBubbleSize val="0"/>
        </c:dLbls>
        <c:gapWidth val="150"/>
        <c:overlap val="-3"/>
        <c:axId val="117697152"/>
        <c:axId val="117719424"/>
      </c:barChart>
      <c:catAx>
        <c:axId val="117697152"/>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17719424"/>
        <c:crosses val="autoZero"/>
        <c:auto val="1"/>
        <c:lblAlgn val="ctr"/>
        <c:lblOffset val="100"/>
        <c:noMultiLvlLbl val="0"/>
      </c:catAx>
      <c:valAx>
        <c:axId val="117719424"/>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17697152"/>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dynamique6</c:name>
    <c:fmtId val="0"/>
  </c:pivotSource>
  <c:chart>
    <c:title>
      <c:tx>
        <c:rich>
          <a:bodyPr/>
          <a:lstStyle/>
          <a:p>
            <a:pPr>
              <a:defRPr/>
            </a:pPr>
            <a:r>
              <a:rPr lang="en-US"/>
              <a:t>CA journalier moyen en fonction de la météo</a:t>
            </a:r>
          </a:p>
        </c:rich>
      </c:tx>
      <c:layout/>
      <c:overlay val="0"/>
    </c:title>
    <c:autoTitleDeleted val="0"/>
    <c:pivotFmts>
      <c:pivotFmt>
        <c:idx val="0"/>
      </c:pivotFmt>
      <c:pivotFmt>
        <c:idx val="1"/>
        <c:marker>
          <c:symbol val="none"/>
        </c:marker>
        <c:dLbl>
          <c:idx val="0"/>
          <c:layout/>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TableauxDynamiques!$B$1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TableauxDynamiques!$A$2:$A$5</c:f>
              <c:strCache>
                <c:ptCount val="3"/>
                <c:pt idx="0">
                  <c:v>1</c:v>
                </c:pt>
                <c:pt idx="1">
                  <c:v>4</c:v>
                </c:pt>
                <c:pt idx="2">
                  <c:v>5</c:v>
                </c:pt>
              </c:strCache>
            </c:strRef>
          </c:cat>
          <c:val>
            <c:numRef>
              <c:f>TableauxDynamiques!$B$2:$B$5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102249216"/>
        <c:axId val="102250752"/>
      </c:barChart>
      <c:catAx>
        <c:axId val="102249216"/>
        <c:scaling>
          <c:orientation val="minMax"/>
        </c:scaling>
        <c:delete val="0"/>
        <c:axPos val="b"/>
        <c:majorTickMark val="out"/>
        <c:minorTickMark val="none"/>
        <c:tickLblPos val="nextTo"/>
        <c:crossAx val="102250752"/>
        <c:crosses val="autoZero"/>
        <c:auto val="1"/>
        <c:lblAlgn val="ctr"/>
        <c:lblOffset val="100"/>
        <c:noMultiLvlLbl val="0"/>
      </c:catAx>
      <c:valAx>
        <c:axId val="102250752"/>
        <c:scaling>
          <c:orientation val="minMax"/>
        </c:scaling>
        <c:delete val="0"/>
        <c:axPos val="l"/>
        <c:majorGridlines/>
        <c:numFmt formatCode="General" sourceLinked="1"/>
        <c:majorTickMark val="out"/>
        <c:minorTickMark val="none"/>
        <c:tickLblPos val="nextTo"/>
        <c:crossAx val="102249216"/>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TableauxDynamiques!$B$13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TableauxDynamiques!$A$14:$A$19</c:f>
              <c:strCache>
                <c:ptCount val="5"/>
                <c:pt idx="0">
                  <c:v>Collier popcorn</c:v>
                </c:pt>
                <c:pt idx="1">
                  <c:v>Dragibus</c:v>
                </c:pt>
                <c:pt idx="2">
                  <c:v>Boucles fashion</c:v>
                </c:pt>
                <c:pt idx="3">
                  <c:v>Ensemble opales</c:v>
                </c:pt>
                <c:pt idx="4">
                  <c:v>Boucles d'or</c:v>
                </c:pt>
              </c:strCache>
            </c:strRef>
          </c:cat>
          <c:val>
            <c:numRef>
              <c:f>TableauxDynamiques!$B$14:$B$19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102272000"/>
        <c:axId val="102322944"/>
      </c:barChart>
      <c:catAx>
        <c:axId val="102272000"/>
        <c:scaling>
          <c:orientation val="minMax"/>
        </c:scaling>
        <c:delete val="0"/>
        <c:axPos val="l"/>
        <c:majorTickMark val="out"/>
        <c:minorTickMark val="none"/>
        <c:tickLblPos val="nextTo"/>
        <c:spPr>
          <a:ln>
            <a:noFill/>
          </a:ln>
        </c:spPr>
        <c:crossAx val="102322944"/>
        <c:crosses val="autoZero"/>
        <c:auto val="1"/>
        <c:lblAlgn val="ctr"/>
        <c:lblOffset val="100"/>
        <c:noMultiLvlLbl val="0"/>
      </c:catAx>
      <c:valAx>
        <c:axId val="102322944"/>
        <c:scaling>
          <c:orientation val="minMax"/>
        </c:scaling>
        <c:delete val="1"/>
        <c:axPos val="b"/>
        <c:numFmt formatCode="General" sourceLinked="1"/>
        <c:majorTickMark val="out"/>
        <c:minorTickMark val="none"/>
        <c:tickLblPos val="nextTo"/>
        <c:crossAx val="102272000"/>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dynamique9</c:name>
    <c:fmtId val="2"/>
  </c:pivotSource>
  <c:chart>
    <c:title>
      <c:tx>
        <c:rich>
          <a:bodyPr/>
          <a:lstStyle/>
          <a:p>
            <a:pPr>
              <a:defRPr/>
            </a:pPr>
            <a:r>
              <a:rPr lang="en-US"/>
              <a:t>CA par nature d'activité (€)</a:t>
            </a:r>
          </a:p>
        </c:rich>
      </c:tx>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TableauxDynamiques!$B$25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TableauxDynamiques!$A$26:$A$31</c:f>
              <c:strCache>
                <c:ptCount val="5"/>
                <c:pt idx="0">
                  <c:v>Vente Boutique</c:v>
                </c:pt>
                <c:pt idx="1">
                  <c:v>Vente CE</c:v>
                </c:pt>
                <c:pt idx="2">
                  <c:v>Vente Domicile</c:v>
                </c:pt>
                <c:pt idx="3">
                  <c:v>Vente Foire</c:v>
                </c:pt>
                <c:pt idx="4">
                  <c:v>Vente Internet</c:v>
                </c:pt>
              </c:strCache>
            </c:strRef>
          </c:cat>
          <c:val>
            <c:numRef>
              <c:f>TableauxDynamiques!$B$26:$B$31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dynamique1</c:name>
    <c:fmtId val="2"/>
  </c:pivotSource>
  <c:chart>
    <c:title>
      <c:tx>
        <c:rich>
          <a:bodyPr/>
          <a:lstStyle/>
          <a:p>
            <a:pPr>
              <a:defRPr/>
            </a:pPr>
            <a:r>
              <a:rPr lang="fr-FR"/>
              <a:t>Répartition des ventes par rapport au code caisse (€)</a:t>
            </a:r>
          </a:p>
        </c:rich>
      </c:tx>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spPr/>
          <c:txPr>
            <a:bodyPr/>
            <a:lstStyle/>
            <a:p>
              <a:pPr>
                <a:defRPr/>
              </a:pPr>
              <a:endParaRPr lang="fr-FR"/>
            </a:p>
          </c:txPr>
          <c:showLegendKey val="0"/>
          <c:showVal val="1"/>
          <c:showCatName val="0"/>
          <c:showSerName val="0"/>
          <c:showPercent val="0"/>
          <c:showBubbleSize val="0"/>
        </c:dLbl>
      </c:pivotFmt>
      <c:pivotFmt>
        <c:idx val="8"/>
        <c:marker>
          <c:symbol val="none"/>
        </c:marker>
        <c:dLbl>
          <c:idx val="0"/>
          <c:spPr/>
          <c:txPr>
            <a:bodyPr/>
            <a:lstStyle/>
            <a:p>
              <a:pPr>
                <a:defRPr/>
              </a:pPr>
              <a:endParaRPr lang="fr-FR"/>
            </a:p>
          </c:txPr>
          <c:showLegendKey val="0"/>
          <c:showVal val="1"/>
          <c:showCatName val="0"/>
          <c:showSerName val="0"/>
          <c:showPercent val="0"/>
          <c:showBubbleSize val="0"/>
        </c:dLbl>
      </c:pivotFmt>
      <c:pivotFmt>
        <c:idx val="9"/>
        <c:marker>
          <c:symbol val="none"/>
        </c:marker>
        <c:dLbl>
          <c:idx val="0"/>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TableauxDynamiques!$B$34:$B$35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TableauxDynamiques!$B$36:$B$43</c:f>
              <c:numCache>
                <c:formatCode>General</c:formatCode>
                <c:ptCount val="5"/>
                <c:pt idx="2">
                  <c:v>2.76</c:v>
                </c:pt>
                <c:pt idx="4">
                  <c:v>2.5299999999999998</c:v>
                </c:pt>
              </c:numCache>
            </c:numRef>
          </c:val>
        </c:ser>
        <c:ser>
          <c:idx val="1"/>
          <c:order val="1"/>
          <c:tx>
            <c:strRef>
              <c:f>TableauxDynamiques!$C$34:$C$35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TableauxDynamiques!$C$36:$C$43</c:f>
              <c:numCache>
                <c:formatCode>General</c:formatCode>
                <c:ptCount val="5"/>
                <c:pt idx="3">
                  <c:v>14</c:v>
                </c:pt>
                <c:pt idx="4">
                  <c:v>5</c:v>
                </c:pt>
              </c:numCache>
            </c:numRef>
          </c:val>
        </c:ser>
        <c:ser>
          <c:idx val="2"/>
          <c:order val="2"/>
          <c:tx>
            <c:strRef>
              <c:f>TableauxDynamiques!$D$34:$D$35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TableauxDynamiques!$D$36:$D$43</c:f>
              <c:numCache>
                <c:formatCode>General</c:formatCode>
                <c:ptCount val="5"/>
                <c:pt idx="1">
                  <c:v>11</c:v>
                </c:pt>
                <c:pt idx="3">
                  <c:v>20.5</c:v>
                </c:pt>
                <c:pt idx="4">
                  <c:v>21</c:v>
                </c:pt>
              </c:numCache>
            </c:numRef>
          </c:val>
        </c:ser>
        <c:ser>
          <c:idx val="3"/>
          <c:order val="3"/>
          <c:tx>
            <c:strRef>
              <c:f>TableauxDynamiques!$E$34:$E$35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102443648"/>
        <c:axId val="102449536"/>
      </c:barChart>
      <c:catAx>
        <c:axId val="102443648"/>
        <c:scaling>
          <c:orientation val="minMax"/>
        </c:scaling>
        <c:delete val="0"/>
        <c:axPos val="b"/>
        <c:majorTickMark val="out"/>
        <c:minorTickMark val="none"/>
        <c:tickLblPos val="nextTo"/>
        <c:spPr>
          <a:ln>
            <a:noFill/>
          </a:ln>
        </c:spPr>
        <c:crossAx val="102449536"/>
        <c:crosses val="autoZero"/>
        <c:auto val="1"/>
        <c:lblAlgn val="ctr"/>
        <c:lblOffset val="100"/>
        <c:noMultiLvlLbl val="0"/>
      </c:catAx>
      <c:valAx>
        <c:axId val="102449536"/>
        <c:scaling>
          <c:orientation val="minMax"/>
        </c:scaling>
        <c:delete val="0"/>
        <c:axPos val="l"/>
        <c:numFmt formatCode="#,##0.00\ &quot;€&quot;" sourceLinked="0"/>
        <c:majorTickMark val="out"/>
        <c:minorTickMark val="none"/>
        <c:tickLblPos val="nextTo"/>
        <c:txPr>
          <a:bodyPr/>
          <a:lstStyle/>
          <a:p>
            <a:pPr>
              <a:defRPr sz="1050" b="1"/>
            </a:pPr>
            <a:endParaRPr lang="fr-FR"/>
          </a:p>
        </c:txPr>
        <c:crossAx val="102443648"/>
        <c:crosses val="autoZero"/>
        <c:crossBetween val="between"/>
      </c:valAx>
    </c:plotArea>
    <c:legend>
      <c:legendPos val="r"/>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133350</xdr:rowOff>
    </xdr:to>
    <xdr:sp macro="[0]!Enregistrer_et_quitter" textlink="">
      <xdr:nvSpPr>
        <xdr:cNvPr id="5" name="Rectangle à coins arrondis 4"/>
        <xdr:cNvSpPr/>
      </xdr:nvSpPr>
      <xdr:spPr>
        <a:xfrm>
          <a:off x="9667875" y="1762125"/>
          <a:ext cx="1076325" cy="57150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19050</xdr:colOff>
      <xdr:row>27</xdr:row>
      <xdr:rowOff>38101</xdr:rowOff>
    </xdr:from>
    <xdr:to>
      <xdr:col>5</xdr:col>
      <xdr:colOff>35719</xdr:colOff>
      <xdr:row>45</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590550</xdr:colOff>
      <xdr:row>7</xdr:row>
      <xdr:rowOff>228600</xdr:rowOff>
    </xdr:from>
    <xdr:to>
      <xdr:col>1</xdr:col>
      <xdr:colOff>2028825</xdr:colOff>
      <xdr:row>10</xdr:row>
      <xdr:rowOff>57150</xdr:rowOff>
    </xdr:to>
    <xdr:sp macro="[0]!AjouterUnPoste" textlink="">
      <xdr:nvSpPr>
        <xdr:cNvPr id="7" name="Rectangle à coins arrondis 6"/>
        <xdr:cNvSpPr/>
      </xdr:nvSpPr>
      <xdr:spPr>
        <a:xfrm>
          <a:off x="914400" y="1562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457200</xdr:colOff>
      <xdr:row>7</xdr:row>
      <xdr:rowOff>238125</xdr:rowOff>
    </xdr:from>
    <xdr:to>
      <xdr:col>3</xdr:col>
      <xdr:colOff>866775</xdr:colOff>
      <xdr:row>10</xdr:row>
      <xdr:rowOff>66675</xdr:rowOff>
    </xdr:to>
    <xdr:sp macro="[0]!ModifierUnPoste" textlink="">
      <xdr:nvSpPr>
        <xdr:cNvPr id="9" name="Rectangle à coins arrondis 8"/>
        <xdr:cNvSpPr/>
      </xdr:nvSpPr>
      <xdr:spPr>
        <a:xfrm>
          <a:off x="3057525" y="1571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twoCellAnchor>
    <xdr:from>
      <xdr:col>5</xdr:col>
      <xdr:colOff>142875</xdr:colOff>
      <xdr:row>7</xdr:row>
      <xdr:rowOff>142875</xdr:rowOff>
    </xdr:from>
    <xdr:to>
      <xdr:col>7</xdr:col>
      <xdr:colOff>542925</xdr:colOff>
      <xdr:row>11</xdr:row>
      <xdr:rowOff>19050</xdr:rowOff>
    </xdr:to>
    <xdr:sp macro="[0]!EnregistrerBudgetMois" textlink="">
      <xdr:nvSpPr>
        <xdr:cNvPr id="8" name="Flèche droite 7"/>
        <xdr:cNvSpPr/>
      </xdr:nvSpPr>
      <xdr:spPr>
        <a:xfrm>
          <a:off x="5829300" y="1581150"/>
          <a:ext cx="2743200" cy="638175"/>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Enregistrer</a:t>
          </a:r>
          <a:r>
            <a:rPr lang="fr-FR" sz="1400" b="1" baseline="0"/>
            <a:t> le budget du mois</a:t>
          </a:r>
          <a:endParaRPr lang="fr-FR" sz="1400" b="1"/>
        </a:p>
      </xdr:txBody>
    </xdr:sp>
    <xdr:clientData/>
  </xdr:twoCellAnchor>
  <xdr:twoCellAnchor editAs="oneCell">
    <xdr:from>
      <xdr:col>5</xdr:col>
      <xdr:colOff>238124</xdr:colOff>
      <xdr:row>14</xdr:row>
      <xdr:rowOff>123826</xdr:rowOff>
    </xdr:from>
    <xdr:to>
      <xdr:col>9</xdr:col>
      <xdr:colOff>1981200</xdr:colOff>
      <xdr:row>19</xdr:row>
      <xdr:rowOff>123825</xdr:rowOff>
    </xdr:to>
    <mc:AlternateContent xmlns:mc="http://schemas.openxmlformats.org/markup-compatibility/2006" xmlns:a14="http://schemas.microsoft.com/office/drawing/2010/main">
      <mc:Choice Requires="a14">
        <xdr:graphicFrame macro="">
          <xdr:nvGraphicFramePr>
            <xdr:cNvPr id="10" name="Mois 1"/>
            <xdr:cNvGraphicFramePr/>
          </xdr:nvGraphicFramePr>
          <xdr:xfrm>
            <a:off x="0" y="0"/>
            <a:ext cx="0" cy="0"/>
          </xdr:xfrm>
          <a:graphic>
            <a:graphicData uri="http://schemas.microsoft.com/office/drawing/2010/slicer">
              <sle:slicer xmlns:sle="http://schemas.microsoft.com/office/drawing/2010/slicer" name="Mois 1"/>
            </a:graphicData>
          </a:graphic>
        </xdr:graphicFrame>
      </mc:Choice>
      <mc:Fallback xmlns="">
        <xdr:sp macro="" textlink="">
          <xdr:nvSpPr>
            <xdr:cNvPr id="0" name=""/>
            <xdr:cNvSpPr>
              <a:spLocks noTextEdit="1"/>
            </xdr:cNvSpPr>
          </xdr:nvSpPr>
          <xdr:spPr>
            <a:xfrm>
              <a:off x="5924549" y="2895601"/>
              <a:ext cx="576262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0</xdr:col>
      <xdr:colOff>314324</xdr:colOff>
      <xdr:row>14</xdr:row>
      <xdr:rowOff>123826</xdr:rowOff>
    </xdr:from>
    <xdr:to>
      <xdr:col>5</xdr:col>
      <xdr:colOff>257175</xdr:colOff>
      <xdr:row>19</xdr:row>
      <xdr:rowOff>123825</xdr:rowOff>
    </xdr:to>
    <mc:AlternateContent xmlns:mc="http://schemas.openxmlformats.org/markup-compatibility/2006" xmlns:a14="http://schemas.microsoft.com/office/drawing/2010/main">
      <mc:Choice Requires="a14">
        <xdr:graphicFrame macro="">
          <xdr:nvGraphicFramePr>
            <xdr:cNvPr id="11" name="Année 1"/>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314324" y="2895601"/>
              <a:ext cx="562927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5</xdr:col>
      <xdr:colOff>95250</xdr:colOff>
      <xdr:row>10</xdr:row>
      <xdr:rowOff>114300</xdr:rowOff>
    </xdr:from>
    <xdr:to>
      <xdr:col>7</xdr:col>
      <xdr:colOff>466725</xdr:colOff>
      <xdr:row>13</xdr:row>
      <xdr:rowOff>85725</xdr:rowOff>
    </xdr:to>
    <xdr:sp macro="[0]!ReinitialiserBudget" textlink="">
      <xdr:nvSpPr>
        <xdr:cNvPr id="12" name="Flèche gauche 11"/>
        <xdr:cNvSpPr/>
      </xdr:nvSpPr>
      <xdr:spPr>
        <a:xfrm>
          <a:off x="5781675" y="2124075"/>
          <a:ext cx="2714625" cy="542925"/>
        </a:xfrm>
        <a:prstGeom prst="lef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Réinitialiser</a:t>
          </a:r>
          <a:r>
            <a:rPr lang="fr-FR" sz="1400" b="1" baseline="0"/>
            <a:t> les postes</a:t>
          </a:r>
          <a:endParaRPr lang="fr-FR"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830878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1447800</xdr:colOff>
      <xdr:row>0</xdr:row>
      <xdr:rowOff>171450</xdr:rowOff>
    </xdr:from>
    <xdr:to>
      <xdr:col>10</xdr:col>
      <xdr:colOff>200025</xdr:colOff>
      <xdr:row>3</xdr:row>
      <xdr:rowOff>123825</xdr:rowOff>
    </xdr:to>
    <xdr:sp macro="" textlink="">
      <xdr:nvSpPr>
        <xdr:cNvPr id="3" name="Rectangle à coins arrondis 2">
          <a:hlinkClick xmlns:r="http://schemas.openxmlformats.org/officeDocument/2006/relationships" r:id="rId2"/>
        </xdr:cNvPr>
        <xdr:cNvSpPr/>
      </xdr:nvSpPr>
      <xdr:spPr>
        <a:xfrm>
          <a:off x="10477500" y="171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1447800</xdr:colOff>
      <xdr:row>4</xdr:row>
      <xdr:rowOff>85726</xdr:rowOff>
    </xdr:from>
    <xdr:to>
      <xdr:col>10</xdr:col>
      <xdr:colOff>200025</xdr:colOff>
      <xdr:row>7</xdr:row>
      <xdr:rowOff>38101</xdr:rowOff>
    </xdr:to>
    <xdr:sp macro="[0]!Enregistrer" textlink="">
      <xdr:nvSpPr>
        <xdr:cNvPr id="4" name="Rectangle à coins arrondis 3"/>
        <xdr:cNvSpPr/>
      </xdr:nvSpPr>
      <xdr:spPr>
        <a:xfrm>
          <a:off x="10477500" y="8477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1457325</xdr:colOff>
      <xdr:row>8</xdr:row>
      <xdr:rowOff>76200</xdr:rowOff>
    </xdr:from>
    <xdr:to>
      <xdr:col>10</xdr:col>
      <xdr:colOff>228600</xdr:colOff>
      <xdr:row>10</xdr:row>
      <xdr:rowOff>142875</xdr:rowOff>
    </xdr:to>
    <xdr:sp macro="[0]!Enregistrer_et_quitter" textlink="">
      <xdr:nvSpPr>
        <xdr:cNvPr id="5" name="Rectangle à coins arrondis 4"/>
        <xdr:cNvSpPr/>
      </xdr:nvSpPr>
      <xdr:spPr>
        <a:xfrm>
          <a:off x="10487025" y="1600200"/>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8">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8">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9" cacheId="2"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8"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7" cacheId="2"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6" cacheId="3"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1" cacheId="2"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eau croisé dynamique2" cacheId="2"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location ref="A4:A5" firstHeaderRow="1" firstDataRow="1" firstDataCol="0" rowPageCount="2" colPageCount="1"/>
  <pivotFields count="14">
    <pivotField showAll="0"/>
    <pivotField showAll="0"/>
    <pivotField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Page" showAll="0">
      <items count="3">
        <item x="1"/>
        <item x="0"/>
        <item t="default"/>
      </items>
    </pivotField>
  </pivotFields>
  <rowItems count="1">
    <i/>
  </rowItems>
  <colItems count="1">
    <i/>
  </colItems>
  <pageFields count="2">
    <pageField fld="13" hier="-1"/>
    <pageField fld="12" hier="-1"/>
  </pageFields>
  <dataFields count="1">
    <dataField name="Somme de Total"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_Mois1" sourceName="Mois">
  <pivotTables>
    <pivotTable tabId="21" name="Tableau croisé dynamique2"/>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_Année1" sourceName="Année">
  <pivotTables>
    <pivotTable tabId="21" name="Tableau croisé dynamique2"/>
  </pivotTables>
  <data>
    <tabular pivotCacheId="4"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is 1" cache="Segment_Mois1" caption="Mois" columnCount="4" style="SlicerStyleDark4 2" rowHeight="241300"/>
  <slicer name="Année 1" cache="Segment_Année1" caption="Année" columnCount="4" style="SlicerStyleDark4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60" dataDxfId="259">
  <autoFilter ref="B15:G19"/>
  <tableColumns count="6">
    <tableColumn id="13" name="Code caisse" dataDxfId="258"/>
    <tableColumn id="12" name="Référence produit" dataDxfId="257">
      <calculatedColumnFormula>"BON"&amp;TEXT(ROW(B1),"000")</calculatedColumnFormula>
    </tableColumn>
    <tableColumn id="2" name="Désignation" dataDxfId="256"/>
    <tableColumn id="15" name="Fournisseur" dataDxfId="255"/>
    <tableColumn id="3" name="Marque" dataDxfId="254"/>
    <tableColumn id="6" name="Prix de vente" dataDxfId="253"/>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52" dataDxfId="251">
  <autoFilter ref="B21:G24"/>
  <tableColumns count="6">
    <tableColumn id="1" name="Code caisse" dataDxfId="250"/>
    <tableColumn id="2" name="Référence produit" dataDxfId="249">
      <calculatedColumnFormula>"BOU"&amp;TEXT(ROW(B1),"000")</calculatedColumnFormula>
    </tableColumn>
    <tableColumn id="3" name="Désignation" dataDxfId="248"/>
    <tableColumn id="6" name="Fournisseur" dataDxfId="247"/>
    <tableColumn id="4" name="Marque" dataDxfId="246"/>
    <tableColumn id="5" name="Prix de vente" dataDxfId="245"/>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44" dataDxfId="243">
  <autoFilter ref="B26:G27"/>
  <tableColumns count="6">
    <tableColumn id="1" name="Code caisse" dataDxfId="242"/>
    <tableColumn id="2" name="Référence produit" dataDxfId="241">
      <calculatedColumnFormula>"COL"&amp;TEXT(ROW(B1),"000")</calculatedColumnFormula>
    </tableColumn>
    <tableColumn id="3" name="Désignation" dataDxfId="240"/>
    <tableColumn id="6" name="Fournisseur" dataDxfId="239"/>
    <tableColumn id="4" name="Marque" dataDxfId="238"/>
    <tableColumn id="5" name="Prix de vente" dataDxfId="237"/>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36" dataDxfId="235">
  <autoFilter ref="B29:G30"/>
  <tableColumns count="6">
    <tableColumn id="1" name="Code caisse" dataDxfId="234"/>
    <tableColumn id="2" name="Référence produit" dataDxfId="233">
      <calculatedColumnFormula>"PAR"&amp;TEXT(ROW(B1),"000")</calculatedColumnFormula>
    </tableColumn>
    <tableColumn id="3" name="Désignation" dataDxfId="232"/>
    <tableColumn id="6" name="Fournisseur" dataDxfId="231"/>
    <tableColumn id="4" name="Marque" dataDxfId="230"/>
    <tableColumn id="5" name="Prix de vente" dataDxfId="229"/>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28" dataDxfId="227">
  <autoFilter ref="B32:G33"/>
  <tableColumns count="6">
    <tableColumn id="1" name="Code caisse" dataDxfId="226"/>
    <tableColumn id="2" name="Référence produit" dataDxfId="225">
      <calculatedColumnFormula>"BRA"&amp;TEXT(ROW(B1),"000")</calculatedColumnFormula>
    </tableColumn>
    <tableColumn id="3" name="Désignation" dataDxfId="224"/>
    <tableColumn id="6" name="Fournisseur" dataDxfId="223"/>
    <tableColumn id="4" name="Marque" dataDxfId="222"/>
    <tableColumn id="5" name="Prix de vente" dataDxfId="221"/>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20" dataDxfId="219">
  <autoFilter ref="B35:G36"/>
  <tableColumns count="6">
    <tableColumn id="1" name="Code caisse" dataDxfId="218"/>
    <tableColumn id="2" name="Référence produit" dataDxfId="217">
      <calculatedColumnFormula>"CLO"&amp;TEXT(ROW(B1),"000")</calculatedColumnFormula>
    </tableColumn>
    <tableColumn id="3" name="Désignation" dataDxfId="216"/>
    <tableColumn id="6" name="Fournisseur" dataDxfId="215"/>
    <tableColumn id="4" name="Marque" dataDxfId="214"/>
    <tableColumn id="5" name="Prix de vente" dataDxfId="213"/>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12" dataDxfId="211">
  <autoFilter ref="B38:G39"/>
  <tableColumns count="6">
    <tableColumn id="1" name="Code caisse" dataDxfId="210"/>
    <tableColumn id="2" name="Référence produit" dataDxfId="209">
      <calculatedColumnFormula>"PIE"&amp;TEXT(ROW(B1),"000")</calculatedColumnFormula>
    </tableColumn>
    <tableColumn id="3" name="Désignation" dataDxfId="208"/>
    <tableColumn id="6" name="Fournisseur" dataDxfId="207"/>
    <tableColumn id="4" name="Marque" dataDxfId="206"/>
    <tableColumn id="5" name="Prix de vente" dataDxfId="205"/>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04" dataDxfId="203">
  <autoFilter ref="B41:G42"/>
  <tableColumns count="6">
    <tableColumn id="1" name="Code caisse" dataDxfId="202"/>
    <tableColumn id="2" name="Référence produit" dataDxfId="201">
      <calculatedColumnFormula>"CHE"&amp;TEXT(ROW(B1),"000")</calculatedColumnFormula>
    </tableColumn>
    <tableColumn id="3" name="Désignation" dataDxfId="200"/>
    <tableColumn id="6" name="Fournisseur" dataDxfId="199"/>
    <tableColumn id="4" name="Marque" dataDxfId="198"/>
    <tableColumn id="5" name="Prix de vente" dataDxfId="197"/>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196" dataDxfId="195">
  <autoFilter ref="B44:G45"/>
  <tableColumns count="6">
    <tableColumn id="1" name="Code caisse" dataDxfId="194"/>
    <tableColumn id="2" name="Référence produit" dataDxfId="193">
      <calculatedColumnFormula>"SAC"&amp;TEXT(ROW(B1),"000")</calculatedColumnFormula>
    </tableColumn>
    <tableColumn id="3" name="Désignation" dataDxfId="192"/>
    <tableColumn id="6" name="Fournisseur" dataDxfId="191"/>
    <tableColumn id="4" name="Marque" dataDxfId="190"/>
    <tableColumn id="5" name="Prix de vente" dataDxfId="189"/>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88" dataDxfId="187">
  <autoFilter ref="B47:G48"/>
  <tableColumns count="6">
    <tableColumn id="1" name="Code caisse" dataDxfId="186"/>
    <tableColumn id="2" name="Référence produit" dataDxfId="185">
      <calculatedColumnFormula>"VER"&amp;TEXT(ROW(B1),"000")</calculatedColumnFormula>
    </tableColumn>
    <tableColumn id="3" name="Désignation" dataDxfId="184"/>
    <tableColumn id="6" name="Fournisseur" dataDxfId="183"/>
    <tableColumn id="4" name="Marque" dataDxfId="182"/>
    <tableColumn id="5" name="Prix de vente" dataDxfId="181"/>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80" dataDxfId="179">
  <autoFilter ref="B50:G51"/>
  <tableColumns count="6">
    <tableColumn id="1" name="Code caisse" dataDxfId="178"/>
    <tableColumn id="2" name="Référence produit" dataDxfId="177">
      <calculatedColumnFormula>"ACO"&amp;TEXT(ROW(B1),"000")</calculatedColumnFormula>
    </tableColumn>
    <tableColumn id="3" name="Désignation" dataDxfId="176"/>
    <tableColumn id="6" name="Fournisseur" dataDxfId="175"/>
    <tableColumn id="4" name="Marque" dataDxfId="174"/>
    <tableColumn id="5" name="Prix de vente" dataDxfId="173"/>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72" dataDxfId="171">
  <autoFilter ref="B53:G54"/>
  <tableColumns count="6">
    <tableColumn id="1" name="Code caisse" dataDxfId="170"/>
    <tableColumn id="2" name="Référence produit" dataDxfId="169">
      <calculatedColumnFormula>"TAT"&amp;TEXT(ROW(B1),"000")</calculatedColumnFormula>
    </tableColumn>
    <tableColumn id="3" name="Désignation" dataDxfId="168"/>
    <tableColumn id="6" name="Fournisseur" dataDxfId="167"/>
    <tableColumn id="4" name="Marque" dataDxfId="166"/>
    <tableColumn id="5" name="Prix de vente" dataDxfId="165"/>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64" dataDxfId="163">
  <autoFilter ref="B56:G57"/>
  <tableColumns count="6">
    <tableColumn id="1" name="Code caisse" dataDxfId="162"/>
    <tableColumn id="2" name="Référence produit" dataDxfId="161">
      <calculatedColumnFormula>"ACT"&amp;TEXT(ROW(B1),"000")</calculatedColumnFormula>
    </tableColumn>
    <tableColumn id="3" name="Désignation" dataDxfId="160"/>
    <tableColumn id="6" name="Fournisseur" dataDxfId="159"/>
    <tableColumn id="4" name="Marque" dataDxfId="158"/>
    <tableColumn id="5" name="Prix de vente" dataDxfId="157"/>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56" dataDxfId="155">
  <autoFilter ref="B59:G60"/>
  <tableColumns count="6">
    <tableColumn id="1" name="Code caisse" dataDxfId="154"/>
    <tableColumn id="2" name="Référence produit" dataDxfId="153">
      <calculatedColumnFormula>"CAD"&amp;TEXT(ROW(B1),"000")</calculatedColumnFormula>
    </tableColumn>
    <tableColumn id="3" name="Désignation" dataDxfId="152"/>
    <tableColumn id="6" name="Fournisseur" dataDxfId="151"/>
    <tableColumn id="4" name="Marque" dataDxfId="150"/>
    <tableColumn id="5" name="Prix de vente" dataDxfId="149"/>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48" dataDxfId="147">
  <autoFilter ref="B62:G63"/>
  <tableColumns count="6">
    <tableColumn id="1" name="Code caisse" dataDxfId="146"/>
    <tableColumn id="2" name="Référence produit" dataDxfId="145">
      <calculatedColumnFormula>"TEL"&amp;TEXT(ROW(B1),"000")</calculatedColumnFormula>
    </tableColumn>
    <tableColumn id="3" name="Désignation" dataDxfId="144"/>
    <tableColumn id="6" name="Fournisseur" dataDxfId="143"/>
    <tableColumn id="4" name="Marque" dataDxfId="142"/>
    <tableColumn id="5" name="Prix de vente" dataDxfId="141"/>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40" dataDxfId="139">
  <autoFilter ref="B65:G66"/>
  <tableColumns count="6">
    <tableColumn id="1" name="Code caisse" dataDxfId="138"/>
    <tableColumn id="2" name="Référence produit" dataDxfId="137">
      <calculatedColumnFormula>"BAG"&amp;TEXT(ROW(B1),"000")</calculatedColumnFormula>
    </tableColumn>
    <tableColumn id="3" name="Désignation" dataDxfId="136"/>
    <tableColumn id="6" name="Fournisseur" dataDxfId="135"/>
    <tableColumn id="4" name="Marque" dataDxfId="134"/>
    <tableColumn id="5" name="Prix de vente" dataDxfId="133"/>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32" dataDxfId="131">
  <autoFilter ref="B68:G69"/>
  <tableColumns count="6">
    <tableColumn id="1" name="Code caisse" dataDxfId="130"/>
    <tableColumn id="2" name="Référence produit" dataDxfId="129">
      <calculatedColumnFormula>"ECH"&amp;TEXT(ROW(B1),"000")</calculatedColumnFormula>
    </tableColumn>
    <tableColumn id="3" name="Désignation" dataDxfId="128"/>
    <tableColumn id="6" name="Fournisseur" dataDxfId="127"/>
    <tableColumn id="4" name="Marque" dataDxfId="126"/>
    <tableColumn id="5" name="Prix de vente" dataDxfId="125"/>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24" dataDxfId="123">
  <autoFilter ref="B71:G72"/>
  <tableColumns count="6">
    <tableColumn id="1" name="Code caisse" dataDxfId="122"/>
    <tableColumn id="2" name="Référence produit" dataDxfId="121">
      <calculatedColumnFormula>"CAR"&amp;TEXT(ROW(B1),"000")</calculatedColumnFormula>
    </tableColumn>
    <tableColumn id="3" name="Désignation" dataDxfId="120"/>
    <tableColumn id="6" name="Fournisseur" dataDxfId="119"/>
    <tableColumn id="4" name="Marque" dataDxfId="118"/>
    <tableColumn id="5" name="Prix de vente" dataDxfId="117"/>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16" dataDxfId="115">
  <autoFilter ref="B74:G75"/>
  <tableColumns count="6">
    <tableColumn id="1" name="Code caisse" dataDxfId="114"/>
    <tableColumn id="2" name="Référence produit" dataDxfId="113">
      <calculatedColumnFormula>"COS"&amp;TEXT(ROW(B1),"000")</calculatedColumnFormula>
    </tableColumn>
    <tableColumn id="3" name="Désignation" dataDxfId="112"/>
    <tableColumn id="6" name="Fournisseur" dataDxfId="111"/>
    <tableColumn id="4" name="Marque" dataDxfId="110"/>
    <tableColumn id="5" name="Prix de vente" dataDxfId="109"/>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1" totalsRowShown="0" headerRowDxfId="108" dataDxfId="107">
  <autoFilter ref="C16:G21"/>
  <tableColumns count="5">
    <tableColumn id="1" name="Référence" dataDxfId="106">
      <calculatedColumnFormula>"FOUR"&amp;TEXT(ROW(C1),"000")</calculatedColumnFormula>
    </tableColumn>
    <tableColumn id="2" name="Désignation" dataDxfId="105"/>
    <tableColumn id="3" name="Adresse site" dataDxfId="104"/>
    <tableColumn id="4" name="Autre contact" dataDxfId="103"/>
    <tableColumn id="5" name="Commentaires" dataDxfId="102"/>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6" totalsRowShown="0" headerRowDxfId="101" dataDxfId="100">
  <autoFilter ref="B19:J26"/>
  <tableColumns count="9">
    <tableColumn id="1" name="Date" dataDxfId="99"/>
    <tableColumn id="2" name="Code caisse" dataDxfId="98"/>
    <tableColumn id="3" name="Référence produit" dataDxfId="97"/>
    <tableColumn id="4" name="Désignation" dataDxfId="96"/>
    <tableColumn id="9" name="Marque" dataDxfId="95"/>
    <tableColumn id="5" name="Quantité" dataDxfId="94"/>
    <tableColumn id="6" name="Prix d'achat unitaire" dataDxfId="93"/>
    <tableColumn id="7" name="Prix de vente unitaire" dataDxfId="92"/>
    <tableColumn id="8" name="Commentaires" dataDxfId="91"/>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O29" totalsRowShown="0" headerRowDxfId="90" dataDxfId="89">
  <autoFilter ref="B17:O29"/>
  <tableColumns count="14">
    <tableColumn id="1" name="Date" dataDxfId="88"/>
    <tableColumn id="10" name="Nature opération" dataDxfId="87"/>
    <tableColumn id="2" name="Code caisse" dataDxfId="86"/>
    <tableColumn id="3" name="Référence produit" dataDxfId="85"/>
    <tableColumn id="4" name="Désignation" dataDxfId="84"/>
    <tableColumn id="12" name="Marque" dataDxfId="83"/>
    <tableColumn id="5" name="Quantité" dataDxfId="82"/>
    <tableColumn id="9" name="Prix de vente unitaire" dataDxfId="81"/>
    <tableColumn id="11" name="Soldes" dataDxfId="80"/>
    <tableColumn id="6" name="Total" dataDxfId="79">
      <calculatedColumnFormula>ventes[[#This Row],[Quantité]]*ventes[[#This Row],[Prix de vente unitaire]]</calculatedColumnFormula>
    </tableColumn>
    <tableColumn id="7" name="Mode paiement" dataDxfId="78"/>
    <tableColumn id="8" name="Commentaires" dataDxfId="77"/>
    <tableColumn id="13" name="Mois" dataDxfId="76">
      <calculatedColumnFormula>TEXT(30*MONTH(ventes[[#This Row],[Date]]), "mmmm")</calculatedColumnFormula>
    </tableColumn>
    <tableColumn id="14" name="Année" dataDxfId="75">
      <calculatedColumnFormula>TEXT(ventes[[#This Row],[Date]],"AAAA")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4" dataDxfId="73">
  <autoFilter ref="A1:D4"/>
  <tableColumns count="4">
    <tableColumn id="1" name="Colonne1" dataDxfId="72"/>
    <tableColumn id="2" name="Colonne2" dataDxfId="71"/>
    <tableColumn id="3" name="Colonne3" dataDxfId="70"/>
    <tableColumn id="4" name="Colonne4" dataDxfId="69"/>
  </tableColumns>
  <tableStyleInfo name="TableStyleMedium2" showFirstColumn="0" showLastColumn="0" showRowStripes="1" showColumnStripes="0"/>
</table>
</file>

<file path=xl/tables/table24.xml><?xml version="1.0" encoding="utf-8"?>
<table xmlns="http://schemas.openxmlformats.org/spreadsheetml/2006/main" id="27" name="Stocks" displayName="Stocks" ref="B17:I22" totalsRowShown="0" headerRowDxfId="68" dataDxfId="67" tableBorderDxfId="66">
  <autoFilter ref="B17:I22"/>
  <tableColumns count="8">
    <tableColumn id="1" name="Code caisse" dataDxfId="65"/>
    <tableColumn id="2" name="Référence produit" dataDxfId="64"/>
    <tableColumn id="3" name="Désignation" dataDxfId="63"/>
    <tableColumn id="9" name="Marque" dataDxfId="62"/>
    <tableColumn id="4" name="Quantité" dataDxfId="61"/>
    <tableColumn id="10" name="Coût d'achat unitaire (PEPS)" dataDxfId="60"/>
    <tableColumn id="5" name="Coût du stock" dataDxfId="59">
      <calculatedColumnFormula>Stocks[[#This Row],[Quantité]]*Stocks[[#This Row],[Coût d''achat unitaire (PEPS)]]</calculatedColumnFormula>
    </tableColumn>
    <tableColumn id="6" name="Valeur à la vente" dataDxfId="58">
      <calculatedColumnFormula>VLOOKUP(D18,ZoneProduits,4,FALSE)*Stocks[[#This Row],[Quantité]]</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8:J50" totalsRowCount="1" headerRowDxfId="57" dataDxfId="56" totalsRowDxfId="55">
  <autoFilter ref="G38:J49"/>
  <sortState ref="G31:K51">
    <sortCondition ref="G16:G37"/>
  </sortState>
  <tableColumns count="4">
    <tableColumn id="1" name="FRAIS D’EXPLOITATION" totalsRowLabel="Total" dataDxfId="54" totalsRowDxfId="7"/>
    <tableColumn id="2" name="ESTIMÉ" totalsRowFunction="sum" dataDxfId="53" totalsRowDxfId="6"/>
    <tableColumn id="3" name="REEL" totalsRowFunction="sum" dataDxfId="52" totalsRowDxfId="5"/>
    <tableColumn id="4" name="DIFFÉRENCE" totalsRowFunction="sum" dataDxfId="51" totalsRowDxfId="4"/>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22:J32" totalsRowCount="1" headerRowDxfId="50" dataDxfId="49" totalsRowDxfId="48">
  <autoFilter ref="G22:J31"/>
  <tableColumns count="4">
    <tableColumn id="1" name="REVENUS" totalsRowLabel="Total" dataDxfId="47" totalsRowDxfId="3"/>
    <tableColumn id="2" name="ESTIMÉ" totalsRowFunction="sum" dataDxfId="46" totalsRowDxfId="2"/>
    <tableColumn id="3" name="REEL" totalsRowFunction="sum" dataDxfId="8" totalsRowDxfId="1">
      <calculatedColumnFormula>GETPIVOTDATA("Total",BudgetDynamique!$A$4)</calculatedColumnFormula>
    </tableColumn>
    <tableColumn id="4" name="DIFFÉRENCE" totalsRowFunction="sum" dataDxfId="45" totalsRowDxfId="0"/>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22:E25" totalsRowCount="1">
  <autoFilter ref="B22:E24"/>
  <tableColumns count="4">
    <tableColumn id="1" name="TOTAUX DU BUDGET" totalsRowLabel="Solde (revenus moins dépenses)" dataDxfId="44" totalsRowDxfId="43"/>
    <tableColumn id="2" name="ESTIMÉ" totalsRowFunction="custom" dataDxfId="42" totalsRowDxfId="41">
      <totalsRowFormula>C23-C24</totalsRowFormula>
    </tableColumn>
    <tableColumn id="3" name="RÉEL" totalsRowFunction="custom" dataDxfId="40" totalsRowDxfId="39">
      <totalsRowFormula>D23-D24</totalsRowFormula>
    </tableColumn>
    <tableColumn id="4" name="DIFFÉRENCE" totalsRowFunction="sum" dataDxfId="38" totalsRowDxfId="37"/>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34:J36" totalsRowCount="1" headerRowDxfId="36" dataDxfId="35" totalsRowDxfId="34">
  <autoFilter ref="G34:J35"/>
  <tableColumns count="4">
    <tableColumn id="1" name="CHARGES DE PERSONNEL" totalsRowLabel="Personnel total" dataDxfId="33" totalsRowDxfId="12"/>
    <tableColumn id="2" name="ESTIMÉ" totalsRowFunction="sum" dataDxfId="32" totalsRowDxfId="11"/>
    <tableColumn id="3" name="REEL" totalsRowFunction="sum" dataDxfId="31" totalsRowDxfId="10"/>
    <tableColumn id="5" name="DIFFÉRENCE" totalsRowFunction="sum" dataDxfId="30" totalsRowDxfId="9"/>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29">
  <autoFilter ref="B21:D36"/>
  <tableColumns count="3">
    <tableColumn id="4" name="Nombre" dataDxfId="28"/>
    <tableColumn id="1" name="€" dataDxfId="27"/>
    <tableColumn id="2" name="Total" dataDxfId="26">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I21" totalsRowShown="0" headerRowDxfId="25" dataDxfId="24">
  <autoFilter ref="B13:I21"/>
  <tableColumns count="8">
    <tableColumn id="1" name="Date" dataDxfId="23"/>
    <tableColumn id="2" name="Météo" dataDxfId="22"/>
    <tableColumn id="3" name="Fond de caisse fin de journée" dataDxfId="21"/>
    <tableColumn id="4" name="Nombre de chèques" dataDxfId="20"/>
    <tableColumn id="5" name="Total chèques" dataDxfId="19"/>
    <tableColumn id="6" name="CA journée" dataDxfId="18"/>
    <tableColumn id="7" name="CA cumulé" dataDxfId="17">
      <calculatedColumnFormula>IF(ISERROR(H13+G14),G14,H13+G14)</calculatedColumnFormula>
    </tableColumn>
    <tableColumn id="8" name="Commentaires" dataDxfId="16"/>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7"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workbookViewId="0"/>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4"/>
  <sheetViews>
    <sheetView showGridLines="0" workbookViewId="0"/>
  </sheetViews>
  <sheetFormatPr baseColWidth="10" defaultRowHeight="15" x14ac:dyDescent="0.25"/>
  <cols>
    <col min="1" max="1" width="11.42578125" style="6"/>
    <col min="2" max="2" width="21" style="26" bestFit="1" customWidth="1"/>
    <col min="3" max="3" width="22.5703125" style="6" customWidth="1"/>
    <col min="4" max="4" width="34.42578125" style="3" customWidth="1"/>
    <col min="5" max="5" width="15" style="6" bestFit="1" customWidth="1"/>
    <col min="6" max="6" width="18.5703125" style="6" customWidth="1"/>
    <col min="7" max="7" width="15" style="23" bestFit="1" customWidth="1"/>
    <col min="8" max="8" width="11.5703125" style="6" customWidth="1"/>
    <col min="9" max="10" width="12.5703125" style="6" customWidth="1"/>
    <col min="11" max="16384" width="11.42578125" style="6"/>
  </cols>
  <sheetData>
    <row r="7" spans="2:7" ht="23.25" x14ac:dyDescent="0.35">
      <c r="E7" s="90" t="s">
        <v>34</v>
      </c>
      <c r="F7" s="90"/>
      <c r="G7" s="54"/>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119</v>
      </c>
      <c r="E16" s="6" t="s">
        <v>120</v>
      </c>
      <c r="F16" s="6" t="s">
        <v>121</v>
      </c>
      <c r="G16" s="23">
        <v>0.12</v>
      </c>
    </row>
    <row r="17" spans="2:7" x14ac:dyDescent="0.25">
      <c r="B17" s="26">
        <v>1</v>
      </c>
      <c r="C17" s="6" t="str">
        <f>"BON"&amp;TEXT(ROW(B2),"000")</f>
        <v>BON002</v>
      </c>
      <c r="D17" s="3" t="s">
        <v>122</v>
      </c>
      <c r="E17" s="6" t="s">
        <v>120</v>
      </c>
      <c r="F17" s="6" t="s">
        <v>123</v>
      </c>
      <c r="G17" s="23">
        <v>0.15</v>
      </c>
    </row>
    <row r="18" spans="2:7" x14ac:dyDescent="0.25">
      <c r="B18" s="26">
        <v>1</v>
      </c>
      <c r="C18" s="6" t="str">
        <f>"BON"&amp;TEXT(ROW(B3),"000")</f>
        <v>BON003</v>
      </c>
      <c r="D18" s="3" t="s">
        <v>124</v>
      </c>
      <c r="E18" s="6" t="s">
        <v>125</v>
      </c>
      <c r="F18" s="6" t="s">
        <v>126</v>
      </c>
      <c r="G18" s="23">
        <v>0.12</v>
      </c>
    </row>
    <row r="19" spans="2:7" x14ac:dyDescent="0.25">
      <c r="B19" s="26">
        <v>1</v>
      </c>
      <c r="C19" s="6" t="str">
        <f>"BON"&amp;TEXT(ROW(B4),"000")</f>
        <v>BON004</v>
      </c>
      <c r="D19" s="3" t="s">
        <v>165</v>
      </c>
      <c r="E19" s="6" t="s">
        <v>120</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127</v>
      </c>
      <c r="E22" s="6" t="s">
        <v>128</v>
      </c>
      <c r="F22" s="6" t="s">
        <v>129</v>
      </c>
      <c r="G22" s="23">
        <v>12</v>
      </c>
    </row>
    <row r="23" spans="2:7" x14ac:dyDescent="0.25">
      <c r="B23" s="26">
        <v>2</v>
      </c>
      <c r="C23" s="3" t="str">
        <f>"BOU"&amp;TEXT(ROW(B2),"000")</f>
        <v>BOU002</v>
      </c>
      <c r="D23" s="3" t="s">
        <v>130</v>
      </c>
      <c r="E23" s="6" t="s">
        <v>128</v>
      </c>
      <c r="F23" s="6" t="s">
        <v>131</v>
      </c>
      <c r="G23" s="23">
        <v>2.2999999999999998</v>
      </c>
    </row>
    <row r="24" spans="2:7" x14ac:dyDescent="0.25">
      <c r="B24" s="26">
        <v>2</v>
      </c>
      <c r="C24" s="3" t="str">
        <f>"BOU"&amp;TEXT(ROW(B3),"000")</f>
        <v>BOU003</v>
      </c>
      <c r="D24" s="3" t="s">
        <v>163</v>
      </c>
      <c r="E24" s="6" t="s">
        <v>128</v>
      </c>
      <c r="F24" s="6" t="s">
        <v>164</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132</v>
      </c>
      <c r="E27" s="6" t="s">
        <v>128</v>
      </c>
      <c r="F27" s="6" t="s">
        <v>133</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134</v>
      </c>
      <c r="E30" s="6" t="s">
        <v>128</v>
      </c>
      <c r="F30" s="6" t="s">
        <v>135</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sheetData>
  <sheetProtection sheet="1" objects="1" scenarios="1"/>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72</v>
      </c>
      <c r="E1" s="6" t="s">
        <v>73</v>
      </c>
      <c r="F1" s="6" t="s">
        <v>72</v>
      </c>
    </row>
    <row r="8" spans="3:7" ht="23.25" x14ac:dyDescent="0.25">
      <c r="F8" s="91" t="s">
        <v>31</v>
      </c>
      <c r="G8" s="91"/>
    </row>
    <row r="16" spans="3:7" x14ac:dyDescent="0.25">
      <c r="C16" s="6" t="s">
        <v>5</v>
      </c>
      <c r="D16" s="6" t="s">
        <v>1</v>
      </c>
      <c r="E16" s="6" t="s">
        <v>32</v>
      </c>
      <c r="F16" s="6" t="s">
        <v>33</v>
      </c>
      <c r="G16" s="6" t="s">
        <v>52</v>
      </c>
    </row>
    <row r="17" spans="3:7" x14ac:dyDescent="0.25">
      <c r="C17" s="3" t="str">
        <f>"FOUR"&amp;TEXT(ROW(C1),"000")</f>
        <v>FOUR001</v>
      </c>
      <c r="D17" s="6" t="s">
        <v>125</v>
      </c>
      <c r="E17" s="6" t="s">
        <v>136</v>
      </c>
      <c r="F17" s="6">
        <v>102030405</v>
      </c>
      <c r="G17" s="6" t="s">
        <v>137</v>
      </c>
    </row>
    <row r="18" spans="3:7" x14ac:dyDescent="0.25">
      <c r="C18" s="3" t="str">
        <f>"FOUR"&amp;TEXT(ROW(C2),"000")</f>
        <v>FOUR002</v>
      </c>
      <c r="D18" s="6" t="s">
        <v>168</v>
      </c>
      <c r="F18" s="6" t="s">
        <v>138</v>
      </c>
      <c r="G18" s="6" t="s">
        <v>139</v>
      </c>
    </row>
    <row r="19" spans="3:7" x14ac:dyDescent="0.25">
      <c r="C19" s="3" t="str">
        <f>"FOUR"&amp;TEXT(ROW(C3),"000")</f>
        <v>FOUR003</v>
      </c>
      <c r="D19" s="6" t="s">
        <v>140</v>
      </c>
      <c r="E19" s="6" t="s">
        <v>141</v>
      </c>
      <c r="G19" s="6" t="s">
        <v>142</v>
      </c>
    </row>
    <row r="20" spans="3:7" x14ac:dyDescent="0.25">
      <c r="C20" s="3" t="str">
        <f>"FOUR"&amp;TEXT(ROW(C4),"000")</f>
        <v>FOUR004</v>
      </c>
      <c r="D20" s="6" t="s">
        <v>120</v>
      </c>
      <c r="F20" s="6">
        <v>789163728</v>
      </c>
      <c r="G20" s="6" t="s">
        <v>143</v>
      </c>
    </row>
    <row r="21" spans="3:7" x14ac:dyDescent="0.25">
      <c r="C21" s="3" t="str">
        <f>"FOUR"&amp;TEXT(ROW(C5),"000")</f>
        <v>FOUR005</v>
      </c>
      <c r="D21" s="6" t="s">
        <v>166</v>
      </c>
      <c r="F21" s="6">
        <v>789877665</v>
      </c>
      <c r="G21" s="6" t="s">
        <v>167</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92"/>
      <c r="J2" s="92"/>
      <c r="K2" s="92"/>
      <c r="L2" s="92"/>
    </row>
    <row r="3" spans="5:12" x14ac:dyDescent="0.25">
      <c r="I3" s="92"/>
      <c r="J3" s="92"/>
      <c r="K3" s="92"/>
      <c r="L3" s="92"/>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6"/>
  <sheetViews>
    <sheetView showGridLines="0" topLeftCell="A7" workbookViewId="0">
      <selection activeCell="E29" sqref="E29"/>
    </sheetView>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93" t="s">
        <v>48</v>
      </c>
      <c r="G9" s="93"/>
    </row>
    <row r="19" spans="2:10" ht="30" x14ac:dyDescent="0.25">
      <c r="B19" s="30" t="s">
        <v>7</v>
      </c>
      <c r="C19" s="18" t="s">
        <v>9</v>
      </c>
      <c r="D19" s="18" t="s">
        <v>0</v>
      </c>
      <c r="E19" s="18" t="s">
        <v>1</v>
      </c>
      <c r="F19" s="18" t="s">
        <v>8</v>
      </c>
      <c r="G19" s="18" t="s">
        <v>6</v>
      </c>
      <c r="H19" s="21" t="s">
        <v>51</v>
      </c>
      <c r="I19" s="21" t="s">
        <v>53</v>
      </c>
      <c r="J19" s="18" t="s">
        <v>52</v>
      </c>
    </row>
    <row r="20" spans="2:10" x14ac:dyDescent="0.25">
      <c r="B20" s="20">
        <v>41365</v>
      </c>
      <c r="C20" s="18">
        <v>1</v>
      </c>
      <c r="D20" s="19" t="s">
        <v>144</v>
      </c>
      <c r="E20" s="19" t="s">
        <v>119</v>
      </c>
      <c r="F20" s="19" t="s">
        <v>121</v>
      </c>
      <c r="G20" s="19">
        <v>200</v>
      </c>
      <c r="H20" s="22">
        <v>0.08</v>
      </c>
      <c r="I20" s="22">
        <v>0.11</v>
      </c>
      <c r="J20" s="19" t="s">
        <v>145</v>
      </c>
    </row>
    <row r="21" spans="2:10" x14ac:dyDescent="0.25">
      <c r="B21" s="20">
        <v>41365</v>
      </c>
      <c r="C21" s="18">
        <v>2</v>
      </c>
      <c r="D21" s="19" t="s">
        <v>54</v>
      </c>
      <c r="E21" s="19" t="s">
        <v>127</v>
      </c>
      <c r="F21" s="19" t="s">
        <v>129</v>
      </c>
      <c r="G21" s="19">
        <v>5</v>
      </c>
      <c r="H21" s="22">
        <v>3</v>
      </c>
      <c r="I21" s="22">
        <v>12</v>
      </c>
      <c r="J21" s="19" t="s">
        <v>146</v>
      </c>
    </row>
    <row r="22" spans="2:10" x14ac:dyDescent="0.25">
      <c r="B22" s="20">
        <v>41365</v>
      </c>
      <c r="C22" s="18">
        <v>3</v>
      </c>
      <c r="D22" s="19" t="s">
        <v>55</v>
      </c>
      <c r="E22" s="19" t="s">
        <v>132</v>
      </c>
      <c r="F22" s="19" t="s">
        <v>133</v>
      </c>
      <c r="G22" s="19">
        <v>1</v>
      </c>
      <c r="H22" s="22">
        <v>1</v>
      </c>
      <c r="I22" s="22">
        <v>10.5</v>
      </c>
      <c r="J22" s="19" t="s">
        <v>147</v>
      </c>
    </row>
    <row r="23" spans="2:10" x14ac:dyDescent="0.25">
      <c r="B23" s="20">
        <v>41366</v>
      </c>
      <c r="C23" s="18">
        <v>1</v>
      </c>
      <c r="D23" s="19" t="s">
        <v>144</v>
      </c>
      <c r="E23" s="19" t="s">
        <v>119</v>
      </c>
      <c r="F23" s="19" t="s">
        <v>121</v>
      </c>
      <c r="G23" s="19">
        <v>3</v>
      </c>
      <c r="H23" s="22">
        <v>7.0000000000000007E-2</v>
      </c>
      <c r="I23" s="22">
        <v>0.11</v>
      </c>
      <c r="J23" s="19"/>
    </row>
    <row r="24" spans="2:10" x14ac:dyDescent="0.25">
      <c r="B24" s="20">
        <v>41255</v>
      </c>
      <c r="C24" s="18">
        <v>4</v>
      </c>
      <c r="D24" s="19" t="s">
        <v>150</v>
      </c>
      <c r="E24" s="19" t="s">
        <v>134</v>
      </c>
      <c r="F24" s="19" t="s">
        <v>135</v>
      </c>
      <c r="G24" s="19">
        <v>2</v>
      </c>
      <c r="H24" s="22">
        <v>10</v>
      </c>
      <c r="I24" s="22">
        <v>40</v>
      </c>
      <c r="J24" s="19"/>
    </row>
    <row r="25" spans="2:10" x14ac:dyDescent="0.25">
      <c r="B25" s="20">
        <v>41255</v>
      </c>
      <c r="C25" s="18">
        <v>4</v>
      </c>
      <c r="D25" s="19" t="s">
        <v>150</v>
      </c>
      <c r="E25" s="19" t="s">
        <v>134</v>
      </c>
      <c r="F25" s="19" t="s">
        <v>135</v>
      </c>
      <c r="G25" s="19">
        <v>9</v>
      </c>
      <c r="H25" s="22">
        <v>40</v>
      </c>
      <c r="I25" s="22">
        <v>40</v>
      </c>
      <c r="J25" s="19"/>
    </row>
    <row r="26" spans="2:10" x14ac:dyDescent="0.25">
      <c r="B26" s="20">
        <v>41393</v>
      </c>
      <c r="C26" s="18">
        <v>2</v>
      </c>
      <c r="D26" s="19" t="s">
        <v>169</v>
      </c>
      <c r="E26" s="19" t="s">
        <v>163</v>
      </c>
      <c r="F26" s="19" t="s">
        <v>164</v>
      </c>
      <c r="G26" s="19">
        <v>3</v>
      </c>
      <c r="H26" s="22">
        <v>5</v>
      </c>
      <c r="I26" s="22">
        <v>10</v>
      </c>
      <c r="J26" s="19"/>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29"/>
  <sheetViews>
    <sheetView showGridLines="0" workbookViewId="0">
      <selection activeCell="A24" sqref="A24"/>
    </sheetView>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51" bestFit="1" customWidth="1"/>
    <col min="15" max="16384" width="11.42578125" style="6"/>
  </cols>
  <sheetData>
    <row r="8" spans="7:9" ht="23.25" x14ac:dyDescent="0.35">
      <c r="G8" s="94" t="s">
        <v>49</v>
      </c>
      <c r="H8" s="94"/>
      <c r="I8" s="94"/>
    </row>
    <row r="17" spans="2:15" ht="30" x14ac:dyDescent="0.25">
      <c r="B17" s="18" t="s">
        <v>7</v>
      </c>
      <c r="C17" s="18" t="s">
        <v>57</v>
      </c>
      <c r="D17" s="18" t="s">
        <v>9</v>
      </c>
      <c r="E17" s="18" t="s">
        <v>0</v>
      </c>
      <c r="F17" s="18" t="s">
        <v>1</v>
      </c>
      <c r="G17" s="18" t="s">
        <v>8</v>
      </c>
      <c r="H17" s="18" t="s">
        <v>6</v>
      </c>
      <c r="I17" s="21" t="s">
        <v>53</v>
      </c>
      <c r="J17" s="21" t="s">
        <v>58</v>
      </c>
      <c r="K17" s="21" t="s">
        <v>4</v>
      </c>
      <c r="L17" s="21" t="s">
        <v>56</v>
      </c>
      <c r="M17" s="18" t="s">
        <v>52</v>
      </c>
      <c r="N17" s="52" t="s">
        <v>118</v>
      </c>
      <c r="O17" s="52" t="s">
        <v>154</v>
      </c>
    </row>
    <row r="18" spans="2:15" x14ac:dyDescent="0.25">
      <c r="B18" s="20">
        <v>41278</v>
      </c>
      <c r="C18" s="18" t="s">
        <v>66</v>
      </c>
      <c r="D18" s="18">
        <v>3</v>
      </c>
      <c r="E18" s="19" t="s">
        <v>55</v>
      </c>
      <c r="F18" s="19" t="s">
        <v>132</v>
      </c>
      <c r="G18" s="19" t="s">
        <v>133</v>
      </c>
      <c r="H18" s="19">
        <v>1</v>
      </c>
      <c r="I18" s="22">
        <v>11</v>
      </c>
      <c r="J18" s="22" t="s">
        <v>60</v>
      </c>
      <c r="K18" s="22">
        <f>ventes[[#This Row],[Quantité]]*ventes[[#This Row],[Prix de vente unitaire]]</f>
        <v>11</v>
      </c>
      <c r="L18" s="22" t="s">
        <v>61</v>
      </c>
      <c r="M18" s="19"/>
      <c r="N18" s="53" t="str">
        <f>TEXT(30*MONTH(ventes[[#This Row],[Date]]), "mmmm")</f>
        <v>janvier</v>
      </c>
      <c r="O18" s="53" t="str">
        <f>TEXT(ventes[[#This Row],[Date]],"AAAA")</f>
        <v>2013</v>
      </c>
    </row>
    <row r="19" spans="2:15" x14ac:dyDescent="0.25">
      <c r="B19" s="20">
        <v>41337</v>
      </c>
      <c r="C19" s="18" t="s">
        <v>59</v>
      </c>
      <c r="D19" s="18">
        <v>1</v>
      </c>
      <c r="E19" s="19" t="s">
        <v>144</v>
      </c>
      <c r="F19" s="19" t="s">
        <v>119</v>
      </c>
      <c r="G19" s="19" t="s">
        <v>121</v>
      </c>
      <c r="H19" s="19">
        <v>23</v>
      </c>
      <c r="I19" s="22">
        <v>0.12</v>
      </c>
      <c r="J19" s="22"/>
      <c r="K19" s="22">
        <f>ventes[[#This Row],[Quantité]]*ventes[[#This Row],[Prix de vente unitaire]]</f>
        <v>2.76</v>
      </c>
      <c r="L19" s="22" t="s">
        <v>67</v>
      </c>
      <c r="M19" s="19" t="s">
        <v>148</v>
      </c>
      <c r="N19" s="53" t="str">
        <f>TEXT(30*MONTH(ventes[[#This Row],[Date]]), "mmmm")</f>
        <v>mars</v>
      </c>
      <c r="O19" s="53" t="str">
        <f>TEXT(ventes[[#This Row],[Date]],"AAAA")</f>
        <v>2013</v>
      </c>
    </row>
    <row r="20" spans="2:15" x14ac:dyDescent="0.25">
      <c r="B20" s="20">
        <v>41368</v>
      </c>
      <c r="C20" s="18" t="s">
        <v>149</v>
      </c>
      <c r="D20" s="18">
        <v>3</v>
      </c>
      <c r="E20" s="19" t="s">
        <v>55</v>
      </c>
      <c r="F20" s="19" t="s">
        <v>132</v>
      </c>
      <c r="G20" s="19" t="s">
        <v>133</v>
      </c>
      <c r="H20" s="19">
        <v>1</v>
      </c>
      <c r="I20" s="22">
        <v>10.5</v>
      </c>
      <c r="J20" s="22"/>
      <c r="K20" s="22">
        <f>ventes[[#This Row],[Quantité]]*ventes[[#This Row],[Prix de vente unitaire]]</f>
        <v>10.5</v>
      </c>
      <c r="L20" s="22" t="s">
        <v>62</v>
      </c>
      <c r="M20" s="19"/>
      <c r="N20" s="53" t="str">
        <f>TEXT(30*MONTH(ventes[[#This Row],[Date]]), "mmmm")</f>
        <v>avril</v>
      </c>
      <c r="O20" s="53" t="str">
        <f>TEXT(ventes[[#This Row],[Date]],"AAAA")</f>
        <v>2013</v>
      </c>
    </row>
    <row r="21" spans="2:15" x14ac:dyDescent="0.25">
      <c r="B21" s="20">
        <v>41368</v>
      </c>
      <c r="C21" s="18" t="s">
        <v>59</v>
      </c>
      <c r="D21" s="18">
        <v>2</v>
      </c>
      <c r="E21" s="19" t="s">
        <v>65</v>
      </c>
      <c r="F21" s="19" t="s">
        <v>130</v>
      </c>
      <c r="G21" s="19" t="s">
        <v>131</v>
      </c>
      <c r="H21" s="19">
        <v>2</v>
      </c>
      <c r="I21" s="22">
        <v>2.5</v>
      </c>
      <c r="J21" s="22"/>
      <c r="K21" s="22">
        <f>ventes[[#This Row],[Quantité]]*ventes[[#This Row],[Prix de vente unitaire]]</f>
        <v>5</v>
      </c>
      <c r="L21" s="22" t="s">
        <v>61</v>
      </c>
      <c r="M21" s="19"/>
      <c r="N21" s="53" t="str">
        <f>TEXT(30*MONTH(ventes[[#This Row],[Date]]), "mmmm")</f>
        <v>avril</v>
      </c>
      <c r="O21" s="53" t="str">
        <f>TEXT(ventes[[#This Row],[Date]],"AAAA")</f>
        <v>2013</v>
      </c>
    </row>
    <row r="22" spans="2:15" x14ac:dyDescent="0.25">
      <c r="B22" s="20">
        <v>41368</v>
      </c>
      <c r="C22" s="18" t="s">
        <v>149</v>
      </c>
      <c r="D22" s="18">
        <v>4</v>
      </c>
      <c r="E22" s="19" t="s">
        <v>150</v>
      </c>
      <c r="F22" s="19" t="s">
        <v>134</v>
      </c>
      <c r="G22" s="19" t="s">
        <v>135</v>
      </c>
      <c r="H22" s="19">
        <v>2</v>
      </c>
      <c r="I22" s="22">
        <v>30</v>
      </c>
      <c r="J22" s="22"/>
      <c r="K22" s="22">
        <f>ventes[[#This Row],[Quantité]]*ventes[[#This Row],[Prix de vente unitaire]]</f>
        <v>60</v>
      </c>
      <c r="L22" s="22" t="s">
        <v>67</v>
      </c>
      <c r="M22" s="19"/>
      <c r="N22" s="53" t="str">
        <f>TEXT(30*MONTH(ventes[[#This Row],[Date]]), "mmmm")</f>
        <v>avril</v>
      </c>
      <c r="O22" s="53" t="str">
        <f>TEXT(ventes[[#This Row],[Date]],"AAAA")</f>
        <v>2013</v>
      </c>
    </row>
    <row r="23" spans="2:15" x14ac:dyDescent="0.25">
      <c r="B23" s="20">
        <v>41395</v>
      </c>
      <c r="C23" s="18" t="s">
        <v>59</v>
      </c>
      <c r="D23" s="18">
        <v>1</v>
      </c>
      <c r="E23" s="19" t="s">
        <v>144</v>
      </c>
      <c r="F23" s="19" t="s">
        <v>119</v>
      </c>
      <c r="G23" s="19" t="s">
        <v>121</v>
      </c>
      <c r="H23" s="19">
        <v>23</v>
      </c>
      <c r="I23" s="22">
        <v>0.11</v>
      </c>
      <c r="J23" s="22"/>
      <c r="K23" s="22">
        <f>ventes[[#This Row],[Quantité]]*ventes[[#This Row],[Prix de vente unitaire]]</f>
        <v>2.5299999999999998</v>
      </c>
      <c r="L23" s="22" t="s">
        <v>61</v>
      </c>
      <c r="M23" s="19"/>
      <c r="N23" s="53" t="str">
        <f>TEXT(30*MONTH(ventes[[#This Row],[Date]]), "mmmm")</f>
        <v>mai</v>
      </c>
      <c r="O23" s="53" t="str">
        <f>TEXT(ventes[[#This Row],[Date]],"AAAA")</f>
        <v>2013</v>
      </c>
    </row>
    <row r="24" spans="2:15" x14ac:dyDescent="0.25">
      <c r="B24" s="20">
        <v>41396</v>
      </c>
      <c r="C24" s="18" t="s">
        <v>59</v>
      </c>
      <c r="D24" s="18">
        <v>2</v>
      </c>
      <c r="E24" s="19" t="s">
        <v>65</v>
      </c>
      <c r="F24" s="19" t="s">
        <v>130</v>
      </c>
      <c r="G24" s="19" t="s">
        <v>131</v>
      </c>
      <c r="H24" s="19">
        <v>5</v>
      </c>
      <c r="I24" s="22">
        <v>1</v>
      </c>
      <c r="J24" s="22" t="s">
        <v>60</v>
      </c>
      <c r="K24" s="22">
        <f>ventes[[#This Row],[Quantité]]*ventes[[#This Row],[Prix de vente unitaire]]</f>
        <v>5</v>
      </c>
      <c r="L24" s="22" t="s">
        <v>61</v>
      </c>
      <c r="M24" s="19" t="s">
        <v>151</v>
      </c>
      <c r="N24" s="53" t="str">
        <f>TEXT(30*MONTH(ventes[[#This Row],[Date]]), "mmmm")</f>
        <v>mai</v>
      </c>
      <c r="O24" s="53" t="str">
        <f>TEXT(ventes[[#This Row],[Date]],"AAAA")</f>
        <v>2013</v>
      </c>
    </row>
    <row r="25" spans="2:15" x14ac:dyDescent="0.25">
      <c r="B25" s="20">
        <v>41397</v>
      </c>
      <c r="C25" s="18" t="s">
        <v>66</v>
      </c>
      <c r="D25" s="18">
        <v>4</v>
      </c>
      <c r="E25" s="19" t="s">
        <v>150</v>
      </c>
      <c r="F25" s="19" t="s">
        <v>134</v>
      </c>
      <c r="G25" s="19" t="s">
        <v>135</v>
      </c>
      <c r="H25" s="19">
        <v>3</v>
      </c>
      <c r="I25" s="22">
        <v>40</v>
      </c>
      <c r="J25" s="22"/>
      <c r="K25" s="22">
        <f>ventes[[#This Row],[Quantité]]*ventes[[#This Row],[Prix de vente unitaire]]</f>
        <v>120</v>
      </c>
      <c r="L25" s="22" t="s">
        <v>61</v>
      </c>
      <c r="M25" s="19"/>
      <c r="N25" s="53" t="str">
        <f>TEXT(30*MONTH(ventes[[#This Row],[Date]]), "mmmm")</f>
        <v>mai</v>
      </c>
      <c r="O25" s="53" t="str">
        <f>TEXT(ventes[[#This Row],[Date]],"AAAA")</f>
        <v>2013</v>
      </c>
    </row>
    <row r="26" spans="2:15" x14ac:dyDescent="0.25">
      <c r="B26" s="20">
        <v>41369</v>
      </c>
      <c r="C26" s="18" t="s">
        <v>74</v>
      </c>
      <c r="D26" s="18">
        <v>3</v>
      </c>
      <c r="E26" s="19" t="s">
        <v>55</v>
      </c>
      <c r="F26" s="19" t="s">
        <v>132</v>
      </c>
      <c r="G26" s="19" t="s">
        <v>133</v>
      </c>
      <c r="H26" s="19">
        <v>1</v>
      </c>
      <c r="I26" s="22">
        <v>10</v>
      </c>
      <c r="J26" s="22"/>
      <c r="K26" s="22">
        <f>ventes[[#This Row],[Quantité]]*ventes[[#This Row],[Prix de vente unitaire]]</f>
        <v>10</v>
      </c>
      <c r="L26" s="22" t="s">
        <v>62</v>
      </c>
      <c r="M26" s="19"/>
      <c r="N26" s="53" t="str">
        <f>TEXT(30*MONTH(ventes[[#This Row],[Date]]), "mmmm")</f>
        <v>avril</v>
      </c>
      <c r="O26" s="53" t="str">
        <f>TEXT(ventes[[#This Row],[Date]],"AAAA")</f>
        <v>2013</v>
      </c>
    </row>
    <row r="27" spans="2:15" x14ac:dyDescent="0.25">
      <c r="B27" s="20">
        <v>41399</v>
      </c>
      <c r="C27" s="18" t="s">
        <v>152</v>
      </c>
      <c r="D27" s="18">
        <v>3</v>
      </c>
      <c r="E27" s="19" t="s">
        <v>55</v>
      </c>
      <c r="F27" s="19" t="s">
        <v>132</v>
      </c>
      <c r="G27" s="19" t="s">
        <v>133</v>
      </c>
      <c r="H27" s="19">
        <v>2</v>
      </c>
      <c r="I27" s="22">
        <v>10.5</v>
      </c>
      <c r="J27" s="22"/>
      <c r="K27" s="22">
        <f>ventes[[#This Row],[Quantité]]*ventes[[#This Row],[Prix de vente unitaire]]</f>
        <v>21</v>
      </c>
      <c r="L27" s="22" t="s">
        <v>67</v>
      </c>
      <c r="M27" s="19"/>
      <c r="N27" s="53" t="str">
        <f>TEXT(30*MONTH(ventes[[#This Row],[Date]]), "mmmm")</f>
        <v>mai</v>
      </c>
      <c r="O27" s="53" t="str">
        <f>TEXT(ventes[[#This Row],[Date]],"AAAA")</f>
        <v>2013</v>
      </c>
    </row>
    <row r="28" spans="2:15" x14ac:dyDescent="0.25">
      <c r="B28" s="20">
        <v>41255</v>
      </c>
      <c r="C28" s="18" t="s">
        <v>59</v>
      </c>
      <c r="D28" s="18">
        <v>4</v>
      </c>
      <c r="E28" s="19" t="s">
        <v>150</v>
      </c>
      <c r="F28" s="19" t="s">
        <v>134</v>
      </c>
      <c r="G28" s="19" t="s">
        <v>135</v>
      </c>
      <c r="H28" s="19">
        <v>1</v>
      </c>
      <c r="I28" s="22">
        <v>40</v>
      </c>
      <c r="J28" s="22"/>
      <c r="K28" s="22">
        <f>ventes[[#This Row],[Quantité]]*ventes[[#This Row],[Prix de vente unitaire]]</f>
        <v>40</v>
      </c>
      <c r="L28" s="22" t="s">
        <v>67</v>
      </c>
      <c r="M28" s="19"/>
      <c r="N28" s="53" t="str">
        <f>TEXT(30*MONTH(ventes[[#This Row],[Date]]), "mmmm")</f>
        <v>décembre</v>
      </c>
      <c r="O28" s="53" t="str">
        <f>TEXT(ventes[[#This Row],[Date]],"AAAA")</f>
        <v>2012</v>
      </c>
    </row>
    <row r="29" spans="2:15" x14ac:dyDescent="0.25">
      <c r="B29" s="20" t="s">
        <v>170</v>
      </c>
      <c r="C29" s="18" t="s">
        <v>149</v>
      </c>
      <c r="D29" s="18">
        <v>2</v>
      </c>
      <c r="E29" s="19" t="s">
        <v>169</v>
      </c>
      <c r="F29" s="19" t="s">
        <v>163</v>
      </c>
      <c r="G29" s="19" t="s">
        <v>164</v>
      </c>
      <c r="H29" s="19">
        <v>1</v>
      </c>
      <c r="I29" s="22">
        <v>9</v>
      </c>
      <c r="J29" s="22" t="s">
        <v>60</v>
      </c>
      <c r="K29" s="22">
        <f>ventes[[#This Row],[Quantité]]*ventes[[#This Row],[Prix de vente unitaire]]</f>
        <v>9</v>
      </c>
      <c r="L29" s="22" t="s">
        <v>67</v>
      </c>
      <c r="M29" s="19"/>
      <c r="N29" s="53" t="str">
        <f>TEXT(30*MONTH(ventes[[#This Row],[Date]]), "mmmm")</f>
        <v>avril</v>
      </c>
      <c r="O29" s="53" t="str">
        <f>TEXT(ventes[[#This Row],[Date]],"AAAA")</f>
        <v>2013</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2"/>
  <sheetViews>
    <sheetView showGridLines="0" workbookViewId="0">
      <selection activeCell="D19" sqref="D19"/>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68</v>
      </c>
      <c r="B1" s="18" t="s">
        <v>69</v>
      </c>
      <c r="C1" s="6" t="s">
        <v>70</v>
      </c>
      <c r="D1" s="6" t="s">
        <v>71</v>
      </c>
    </row>
    <row r="8" spans="1:7" ht="23.25" customHeight="1" x14ac:dyDescent="0.35">
      <c r="F8" s="94" t="s">
        <v>50</v>
      </c>
      <c r="G8" s="94"/>
    </row>
    <row r="16" spans="1:7" x14ac:dyDescent="0.25">
      <c r="G16" s="55"/>
    </row>
    <row r="17" spans="2:9" s="18" customFormat="1" ht="30" x14ac:dyDescent="0.25">
      <c r="B17" s="25" t="s">
        <v>9</v>
      </c>
      <c r="C17" s="25" t="s">
        <v>0</v>
      </c>
      <c r="D17" s="25" t="s">
        <v>1</v>
      </c>
      <c r="E17" s="25" t="s">
        <v>8</v>
      </c>
      <c r="F17" s="25" t="s">
        <v>6</v>
      </c>
      <c r="G17" s="56" t="s">
        <v>153</v>
      </c>
      <c r="H17" s="65" t="s">
        <v>63</v>
      </c>
      <c r="I17" s="66" t="s">
        <v>64</v>
      </c>
    </row>
    <row r="18" spans="2:9" x14ac:dyDescent="0.25">
      <c r="B18" s="63">
        <v>1</v>
      </c>
      <c r="C18" s="24" t="s">
        <v>144</v>
      </c>
      <c r="D18" s="24" t="s">
        <v>119</v>
      </c>
      <c r="E18" s="24" t="s">
        <v>121</v>
      </c>
      <c r="F18" s="24">
        <v>152</v>
      </c>
      <c r="G18" s="57">
        <v>0.08</v>
      </c>
      <c r="H18" s="61">
        <f>Stocks[[#This Row],[Quantité]]*Stocks[[#This Row],[Coût d''achat unitaire (PEPS)]]</f>
        <v>12.16</v>
      </c>
      <c r="I18" s="62">
        <f>VLOOKUP(D18,ZoneProduits,4,FALSE)*Stocks[[#This Row],[Quantité]]</f>
        <v>18.239999999999998</v>
      </c>
    </row>
    <row r="19" spans="2:9" x14ac:dyDescent="0.25">
      <c r="B19" s="64">
        <v>2</v>
      </c>
      <c r="C19" s="58" t="s">
        <v>54</v>
      </c>
      <c r="D19" s="58" t="s">
        <v>127</v>
      </c>
      <c r="E19" s="58" t="s">
        <v>129</v>
      </c>
      <c r="F19" s="58">
        <v>5</v>
      </c>
      <c r="G19" s="59">
        <v>3</v>
      </c>
      <c r="H19" s="59">
        <f>Stocks[[#This Row],[Quantité]]*Stocks[[#This Row],[Coût d''achat unitaire (PEPS)]]</f>
        <v>15</v>
      </c>
      <c r="I19" s="60">
        <f>VLOOKUP(D19,ZoneProduits,4,FALSE)*Stocks[[#This Row],[Quantité]]</f>
        <v>60</v>
      </c>
    </row>
    <row r="20" spans="2:9" x14ac:dyDescent="0.25">
      <c r="B20" s="64">
        <v>3</v>
      </c>
      <c r="C20" s="58" t="s">
        <v>55</v>
      </c>
      <c r="D20" s="58" t="s">
        <v>132</v>
      </c>
      <c r="E20" s="58" t="s">
        <v>133</v>
      </c>
      <c r="F20" s="58">
        <v>-6</v>
      </c>
      <c r="G20" s="59">
        <v>1</v>
      </c>
      <c r="H20" s="59">
        <f>Stocks[[#This Row],[Quantité]]*Stocks[[#This Row],[Coût d''achat unitaire (PEPS)]]</f>
        <v>-6</v>
      </c>
      <c r="I20" s="60">
        <f>VLOOKUP(D20,ZoneProduits,4,FALSE)*Stocks[[#This Row],[Quantité]]</f>
        <v>-63</v>
      </c>
    </row>
    <row r="21" spans="2:9" x14ac:dyDescent="0.25">
      <c r="B21" s="64">
        <v>4</v>
      </c>
      <c r="C21" s="58" t="s">
        <v>150</v>
      </c>
      <c r="D21" s="58" t="s">
        <v>134</v>
      </c>
      <c r="E21" s="58" t="s">
        <v>135</v>
      </c>
      <c r="F21" s="58">
        <v>5</v>
      </c>
      <c r="G21" s="59">
        <v>10</v>
      </c>
      <c r="H21" s="59">
        <f>Stocks[[#This Row],[Quantité]]*Stocks[[#This Row],[Coût d''achat unitaire (PEPS)]]</f>
        <v>50</v>
      </c>
      <c r="I21" s="60">
        <f>VLOOKUP(D21,ZoneProduits,4,FALSE)*Stocks[[#This Row],[Quantité]]</f>
        <v>200</v>
      </c>
    </row>
    <row r="22" spans="2:9" x14ac:dyDescent="0.25">
      <c r="B22" s="69">
        <v>2</v>
      </c>
      <c r="C22" s="70" t="s">
        <v>169</v>
      </c>
      <c r="D22" s="70" t="s">
        <v>163</v>
      </c>
      <c r="E22" s="70" t="s">
        <v>164</v>
      </c>
      <c r="F22" s="70">
        <v>2</v>
      </c>
      <c r="G22" s="71">
        <v>5</v>
      </c>
      <c r="H22" s="71">
        <f>Stocks[[#This Row],[Quantité]]*Stocks[[#This Row],[Coût d''achat unitaire (PEPS)]]</f>
        <v>10</v>
      </c>
      <c r="I22" s="72">
        <f>VLOOKUP(D22,ZoneProduits,4,FALSE)*Stocks[[#This Row],[Quantité]]</f>
        <v>20</v>
      </c>
    </row>
  </sheetData>
  <sheetProtection sheet="1" objects="1" scenarios="1"/>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7:L58"/>
  <sheetViews>
    <sheetView showGridLines="0" tabSelected="1" topLeftCell="A7" workbookViewId="0">
      <selection activeCell="I28" sqref="I28"/>
    </sheetView>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2.7109375" style="84" customWidth="1"/>
    <col min="9" max="9" width="13.85546875" style="84" customWidth="1"/>
    <col min="10" max="10" width="30" style="78" bestFit="1" customWidth="1"/>
    <col min="11" max="11" width="15.28515625" bestFit="1" customWidth="1"/>
  </cols>
  <sheetData>
    <row r="7" spans="7:8" ht="23.25" x14ac:dyDescent="0.35">
      <c r="G7" s="96" t="s">
        <v>41</v>
      </c>
      <c r="H7" s="96"/>
    </row>
    <row r="17" spans="1:12" x14ac:dyDescent="0.25">
      <c r="H17" s="84">
        <v>296.78999999999996</v>
      </c>
    </row>
    <row r="21" spans="1:12" x14ac:dyDescent="0.25">
      <c r="A21" s="31"/>
      <c r="B21" s="31"/>
      <c r="C21" s="31"/>
      <c r="D21" s="31"/>
      <c r="E21" s="31"/>
      <c r="F21" s="31"/>
      <c r="G21" s="31"/>
      <c r="H21" s="85"/>
      <c r="I21" s="85"/>
      <c r="J21" s="79"/>
      <c r="K21" s="31"/>
      <c r="L21" s="31"/>
    </row>
    <row r="22" spans="1:12" x14ac:dyDescent="0.25">
      <c r="A22" s="42"/>
      <c r="B22" s="26" t="s">
        <v>75</v>
      </c>
      <c r="C22" s="6" t="s">
        <v>76</v>
      </c>
      <c r="D22" s="3" t="s">
        <v>77</v>
      </c>
      <c r="E22" s="6" t="s">
        <v>78</v>
      </c>
      <c r="F22" s="23"/>
      <c r="G22" s="32" t="s">
        <v>79</v>
      </c>
      <c r="H22" s="86" t="s">
        <v>76</v>
      </c>
      <c r="I22" s="86" t="s">
        <v>173</v>
      </c>
      <c r="J22" s="80" t="s">
        <v>78</v>
      </c>
      <c r="K22" s="42"/>
    </row>
    <row r="23" spans="1:12" x14ac:dyDescent="0.25">
      <c r="A23" s="31"/>
      <c r="B23" s="26" t="s">
        <v>80</v>
      </c>
      <c r="C23" s="6">
        <f>Revenus[[#Totals],[ESTIMÉ]]</f>
        <v>73950</v>
      </c>
      <c r="D23" s="3">
        <f>Revenus[[#Totals],[REEL]]</f>
        <v>69296.790000000008</v>
      </c>
      <c r="E23" s="6">
        <f>TableauTotaux[[#This Row],[RÉEL]]-TableauTotaux[[#This Row],[ESTIMÉ]]</f>
        <v>-4653.2099999999919</v>
      </c>
      <c r="F23" s="23"/>
      <c r="G23" s="34" t="s">
        <v>81</v>
      </c>
      <c r="H23" s="87">
        <v>60000</v>
      </c>
      <c r="I23" s="87">
        <f>GETPIVOTDATA("Total",BudgetDynamique!$A$4)</f>
        <v>296.78999999999996</v>
      </c>
      <c r="J23" s="81">
        <f>Revenus[[#This Row],[REEL]]-Revenus[[#This Row],[ESTIMÉ]]</f>
        <v>-59703.21</v>
      </c>
      <c r="K23" s="31"/>
    </row>
    <row r="24" spans="1:12" x14ac:dyDescent="0.25">
      <c r="A24" s="31"/>
      <c r="B24" s="26" t="s">
        <v>82</v>
      </c>
      <c r="C24" s="6">
        <f>FraisExploitation[[#Totals],[ESTIMÉ]]+DépensesPersonnelles[[#Totals],[ESTIMÉ]]</f>
        <v>10600</v>
      </c>
      <c r="D24" s="3">
        <f>FraisExploitation[[#Totals],[REEL]]+DépensesPersonnelles[[#Totals],[REEL]]</f>
        <v>12222</v>
      </c>
      <c r="E24" s="6">
        <f>TableauTotaux[[#This Row],[ESTIMÉ]]-TableauTotaux[[#This Row],[RÉEL]]</f>
        <v>-1622</v>
      </c>
      <c r="F24" s="23"/>
      <c r="G24" s="34" t="s">
        <v>83</v>
      </c>
      <c r="H24" s="87">
        <v>3000</v>
      </c>
      <c r="I24" s="87">
        <v>10000</v>
      </c>
      <c r="J24" s="81">
        <f>Revenus[[#This Row],[REEL]]-Revenus[[#This Row],[ESTIMÉ]]</f>
        <v>7000</v>
      </c>
      <c r="K24" s="31"/>
    </row>
    <row r="25" spans="1:12" x14ac:dyDescent="0.25">
      <c r="A25" s="31"/>
      <c r="B25" s="26" t="s">
        <v>84</v>
      </c>
      <c r="C25" s="6">
        <f>C23-C24</f>
        <v>63350</v>
      </c>
      <c r="D25" s="3">
        <f>D23-D24</f>
        <v>57074.790000000008</v>
      </c>
      <c r="E25" s="6">
        <f>SUBTOTAL(109,TableauTotaux[DIFFÉRENCE])</f>
        <v>-6275.2099999999919</v>
      </c>
      <c r="F25" s="23"/>
      <c r="G25" s="34" t="s">
        <v>85</v>
      </c>
      <c r="H25" s="87">
        <v>300</v>
      </c>
      <c r="I25" s="87">
        <v>10000</v>
      </c>
      <c r="J25" s="81">
        <f>Revenus[[#This Row],[REEL]]-Revenus[[#This Row],[ESTIMÉ]]</f>
        <v>9700</v>
      </c>
      <c r="K25" s="31"/>
    </row>
    <row r="26" spans="1:12" x14ac:dyDescent="0.25">
      <c r="A26" s="31"/>
      <c r="B26" s="34"/>
      <c r="C26" s="36"/>
      <c r="D26" s="36"/>
      <c r="E26" s="35"/>
      <c r="F26" s="31"/>
      <c r="G26" s="34" t="s">
        <v>100</v>
      </c>
      <c r="H26" s="87">
        <v>10000</v>
      </c>
      <c r="I26" s="87">
        <v>9000</v>
      </c>
      <c r="J26" s="81">
        <f>Revenus[[#This Row],[REEL]]-Revenus[[#This Row],[ESTIMÉ]]</f>
        <v>-1000</v>
      </c>
      <c r="K26" s="31"/>
    </row>
    <row r="27" spans="1:12" x14ac:dyDescent="0.25">
      <c r="A27" s="31"/>
      <c r="B27" s="31"/>
      <c r="C27" s="31"/>
      <c r="D27" s="31"/>
      <c r="E27" s="31"/>
      <c r="F27" s="31"/>
      <c r="G27" s="34" t="s">
        <v>102</v>
      </c>
      <c r="H27" s="87">
        <v>100</v>
      </c>
      <c r="I27" s="87">
        <v>40000</v>
      </c>
      <c r="J27" s="81">
        <f>Revenus[[#This Row],[REEL]]-Revenus[[#This Row],[ESTIMÉ]]</f>
        <v>39900</v>
      </c>
      <c r="K27" s="46"/>
      <c r="L27" s="31"/>
    </row>
    <row r="28" spans="1:12" x14ac:dyDescent="0.25">
      <c r="A28" s="31"/>
      <c r="B28" s="31"/>
      <c r="C28" s="31"/>
      <c r="D28" s="31"/>
      <c r="E28" s="31"/>
      <c r="F28" s="31"/>
      <c r="G28" s="34" t="s">
        <v>103</v>
      </c>
      <c r="H28" s="87">
        <v>100</v>
      </c>
      <c r="I28" s="87"/>
      <c r="J28" s="81">
        <f>Revenus[[#This Row],[REEL]]-Revenus[[#This Row],[ESTIMÉ]]</f>
        <v>-100</v>
      </c>
      <c r="K28" s="31"/>
    </row>
    <row r="29" spans="1:12" x14ac:dyDescent="0.25">
      <c r="A29" s="31"/>
      <c r="B29" s="31"/>
      <c r="C29" s="31"/>
      <c r="D29" s="31"/>
      <c r="E29" s="31"/>
      <c r="F29" s="31"/>
      <c r="G29" s="34" t="s">
        <v>104</v>
      </c>
      <c r="H29" s="87">
        <v>100</v>
      </c>
      <c r="I29" s="87"/>
      <c r="J29" s="81">
        <f>Revenus[[#This Row],[REEL]]-Revenus[[#This Row],[ESTIMÉ]]</f>
        <v>-100</v>
      </c>
      <c r="K29" s="31"/>
    </row>
    <row r="30" spans="1:12" x14ac:dyDescent="0.25">
      <c r="A30" s="31"/>
      <c r="B30" s="31"/>
      <c r="C30" s="31"/>
      <c r="D30" s="31"/>
      <c r="E30" s="31"/>
      <c r="F30" s="31"/>
      <c r="G30" s="34" t="s">
        <v>105</v>
      </c>
      <c r="H30" s="87">
        <v>250</v>
      </c>
      <c r="I30" s="87"/>
      <c r="J30" s="81">
        <f>Revenus[[#This Row],[REEL]]-Revenus[[#This Row],[ESTIMÉ]]</f>
        <v>-250</v>
      </c>
      <c r="K30" s="31"/>
    </row>
    <row r="31" spans="1:12" x14ac:dyDescent="0.25">
      <c r="A31" s="31"/>
      <c r="B31" s="31"/>
      <c r="C31" s="31"/>
      <c r="D31" s="31"/>
      <c r="E31" s="31"/>
      <c r="F31" s="31"/>
      <c r="G31" s="34" t="s">
        <v>171</v>
      </c>
      <c r="H31" s="87">
        <v>100</v>
      </c>
      <c r="I31" s="87"/>
      <c r="J31" s="81">
        <f>Revenus[[#This Row],[REEL]]-Revenus[[#This Row],[ESTIMÉ]]</f>
        <v>-100</v>
      </c>
      <c r="K31" s="31"/>
    </row>
    <row r="32" spans="1:12" x14ac:dyDescent="0.25">
      <c r="A32" s="31"/>
      <c r="B32" s="31"/>
      <c r="C32" s="31"/>
      <c r="D32" s="31"/>
      <c r="E32" s="31"/>
      <c r="F32" s="31"/>
      <c r="G32" s="34" t="s">
        <v>4</v>
      </c>
      <c r="H32" s="88">
        <f>SUBTOTAL(109,Revenus[ESTIMÉ])</f>
        <v>73950</v>
      </c>
      <c r="I32" s="88">
        <f>SUBTOTAL(109,Revenus[REEL])</f>
        <v>69296.790000000008</v>
      </c>
      <c r="J32" s="82">
        <f>SUBTOTAL(109,Revenus[DIFFÉRENCE])</f>
        <v>-4653.2099999999991</v>
      </c>
      <c r="K32" s="31"/>
    </row>
    <row r="33" spans="1:12" x14ac:dyDescent="0.25">
      <c r="A33" s="31"/>
      <c r="B33" s="31"/>
      <c r="C33" s="31"/>
      <c r="D33" s="31"/>
      <c r="E33" s="31"/>
      <c r="F33" s="31"/>
      <c r="G33" s="46"/>
      <c r="H33" s="89"/>
      <c r="I33" s="89"/>
      <c r="J33" s="83"/>
      <c r="K33" s="46"/>
      <c r="L33" s="31"/>
    </row>
    <row r="34" spans="1:12" x14ac:dyDescent="0.25">
      <c r="A34" s="31"/>
      <c r="B34" s="31"/>
      <c r="C34" s="31"/>
      <c r="D34" s="31"/>
      <c r="E34" s="31"/>
      <c r="F34" s="31"/>
      <c r="G34" s="34" t="s">
        <v>101</v>
      </c>
      <c r="H34" s="87" t="s">
        <v>76</v>
      </c>
      <c r="I34" s="87" t="s">
        <v>173</v>
      </c>
      <c r="J34" s="81" t="s">
        <v>78</v>
      </c>
      <c r="K34" s="31"/>
    </row>
    <row r="35" spans="1:12" x14ac:dyDescent="0.25">
      <c r="A35" s="31"/>
      <c r="B35" s="31"/>
      <c r="C35" s="31"/>
      <c r="D35" s="31"/>
      <c r="E35" s="31"/>
      <c r="F35" s="31"/>
      <c r="G35" s="34" t="s">
        <v>86</v>
      </c>
      <c r="H35" s="87">
        <v>9500</v>
      </c>
      <c r="I35" s="87"/>
      <c r="J35" s="81">
        <f>DépensesPersonnelles[[#This Row],[ESTIMÉ]]-DépensesPersonnelles[[#This Row],[REEL]]</f>
        <v>9500</v>
      </c>
      <c r="K35" s="31"/>
    </row>
    <row r="36" spans="1:12" x14ac:dyDescent="0.25">
      <c r="A36" s="31"/>
      <c r="B36" s="31"/>
      <c r="C36" s="31"/>
      <c r="D36" s="31"/>
      <c r="E36" s="31"/>
      <c r="F36" s="31"/>
      <c r="G36" s="34" t="s">
        <v>87</v>
      </c>
      <c r="H36" s="88">
        <f>SUBTOTAL(109,DépensesPersonnelles[ESTIMÉ])</f>
        <v>9500</v>
      </c>
      <c r="I36" s="88">
        <f>SUBTOTAL(109,DépensesPersonnelles[REEL])</f>
        <v>0</v>
      </c>
      <c r="J36" s="82">
        <f>SUBTOTAL(109,DépensesPersonnelles[DIFFÉRENCE])</f>
        <v>9500</v>
      </c>
      <c r="K36" s="31"/>
    </row>
    <row r="37" spans="1:12" x14ac:dyDescent="0.25">
      <c r="A37" s="31"/>
      <c r="B37" s="31"/>
      <c r="C37" s="31"/>
      <c r="D37" s="31"/>
      <c r="E37" s="31"/>
      <c r="F37" s="31"/>
      <c r="G37" s="46"/>
      <c r="H37" s="89"/>
      <c r="I37" s="89"/>
      <c r="J37" s="83"/>
      <c r="K37" s="31"/>
    </row>
    <row r="38" spans="1:12" x14ac:dyDescent="0.25">
      <c r="A38" s="31"/>
      <c r="B38" s="31"/>
      <c r="C38" s="31"/>
      <c r="D38" s="31"/>
      <c r="E38" s="31"/>
      <c r="F38" s="31"/>
      <c r="G38" s="34" t="s">
        <v>88</v>
      </c>
      <c r="H38" s="88" t="s">
        <v>76</v>
      </c>
      <c r="I38" s="88" t="s">
        <v>173</v>
      </c>
      <c r="J38" s="82" t="s">
        <v>78</v>
      </c>
      <c r="K38" s="31"/>
    </row>
    <row r="39" spans="1:12" x14ac:dyDescent="0.25">
      <c r="A39" s="31"/>
      <c r="B39" s="31"/>
      <c r="C39" s="31"/>
      <c r="D39" s="31"/>
      <c r="E39" s="31"/>
      <c r="F39" s="31"/>
      <c r="G39" s="34" t="s">
        <v>93</v>
      </c>
      <c r="H39" s="87">
        <v>1100</v>
      </c>
      <c r="I39" s="87">
        <v>12222</v>
      </c>
      <c r="J39" s="81">
        <f>FraisExploitation[[#This Row],[ESTIMÉ]]-FraisExploitation[[#This Row],[REEL]]</f>
        <v>-11122</v>
      </c>
      <c r="K39" s="31"/>
    </row>
    <row r="40" spans="1:12" x14ac:dyDescent="0.25">
      <c r="A40" s="31"/>
      <c r="B40" s="31"/>
      <c r="C40" s="31"/>
      <c r="D40" s="31"/>
      <c r="E40" s="31"/>
      <c r="F40" s="31"/>
      <c r="G40" s="34" t="s">
        <v>89</v>
      </c>
      <c r="H40" s="87"/>
      <c r="I40" s="87"/>
      <c r="J40" s="81">
        <f>FraisExploitation[[#This Row],[ESTIMÉ]]-FraisExploitation[[#This Row],[REEL]]</f>
        <v>0</v>
      </c>
      <c r="K40" s="31"/>
    </row>
    <row r="41" spans="1:12" x14ac:dyDescent="0.25">
      <c r="A41" s="31"/>
      <c r="B41" s="31"/>
      <c r="C41" s="31"/>
      <c r="D41" s="31"/>
      <c r="E41" s="31"/>
      <c r="F41" s="31"/>
      <c r="G41" s="34" t="s">
        <v>94</v>
      </c>
      <c r="H41" s="87"/>
      <c r="I41" s="87"/>
      <c r="J41" s="81">
        <f>FraisExploitation[[#This Row],[ESTIMÉ]]-FraisExploitation[[#This Row],[REEL]]</f>
        <v>0</v>
      </c>
      <c r="K41" s="31"/>
    </row>
    <row r="42" spans="1:12" x14ac:dyDescent="0.25">
      <c r="A42" s="31"/>
      <c r="B42" s="31"/>
      <c r="C42" s="31"/>
      <c r="D42" s="31"/>
      <c r="E42" s="31"/>
      <c r="F42" s="31"/>
      <c r="G42" s="34" t="s">
        <v>95</v>
      </c>
      <c r="H42" s="87"/>
      <c r="I42" s="87"/>
      <c r="J42" s="81">
        <f>FraisExploitation[[#This Row],[ESTIMÉ]]-FraisExploitation[[#This Row],[REEL]]</f>
        <v>0</v>
      </c>
      <c r="K42" s="31"/>
    </row>
    <row r="43" spans="1:12" x14ac:dyDescent="0.25">
      <c r="A43" s="31"/>
      <c r="B43" s="31"/>
      <c r="C43" s="31"/>
      <c r="D43" s="31"/>
      <c r="E43" s="43"/>
      <c r="F43" s="31"/>
      <c r="G43" s="34" t="s">
        <v>91</v>
      </c>
      <c r="H43" s="87"/>
      <c r="I43" s="87"/>
      <c r="J43" s="81">
        <f>FraisExploitation[[#This Row],[ESTIMÉ]]-FraisExploitation[[#This Row],[REEL]]</f>
        <v>0</v>
      </c>
      <c r="K43" s="31"/>
    </row>
    <row r="44" spans="1:12" x14ac:dyDescent="0.25">
      <c r="A44" s="31"/>
      <c r="B44" s="31"/>
      <c r="C44" s="31"/>
      <c r="D44" s="44"/>
      <c r="E44" s="31"/>
      <c r="F44" s="31"/>
      <c r="G44" s="34" t="s">
        <v>90</v>
      </c>
      <c r="H44" s="87"/>
      <c r="I44" s="87"/>
      <c r="J44" s="81">
        <f>FraisExploitation[[#This Row],[ESTIMÉ]]-FraisExploitation[[#This Row],[REEL]]</f>
        <v>0</v>
      </c>
      <c r="K44" s="31"/>
    </row>
    <row r="45" spans="1:12" x14ac:dyDescent="0.25">
      <c r="A45" s="31"/>
      <c r="B45" s="31"/>
      <c r="C45" s="31"/>
      <c r="D45" s="44"/>
      <c r="E45" s="31"/>
      <c r="F45" s="31"/>
      <c r="G45" s="34" t="s">
        <v>99</v>
      </c>
      <c r="H45" s="87"/>
      <c r="I45" s="87"/>
      <c r="J45" s="81">
        <f>FraisExploitation[[#This Row],[ESTIMÉ]]-FraisExploitation[[#This Row],[REEL]]</f>
        <v>0</v>
      </c>
      <c r="K45" s="31"/>
    </row>
    <row r="46" spans="1:12" x14ac:dyDescent="0.25">
      <c r="A46" s="31"/>
      <c r="B46" s="31"/>
      <c r="C46" s="31"/>
      <c r="D46" s="44"/>
      <c r="E46" s="31"/>
      <c r="F46" s="31"/>
      <c r="G46" s="34" t="s">
        <v>96</v>
      </c>
      <c r="H46" s="87"/>
      <c r="I46" s="87"/>
      <c r="J46" s="81">
        <f>FraisExploitation[[#This Row],[ESTIMÉ]]-FraisExploitation[[#This Row],[REEL]]</f>
        <v>0</v>
      </c>
      <c r="K46" s="31"/>
    </row>
    <row r="47" spans="1:12" x14ac:dyDescent="0.25">
      <c r="A47" s="31"/>
      <c r="B47" s="95"/>
      <c r="C47" s="95"/>
      <c r="D47" s="95"/>
      <c r="E47" s="43"/>
      <c r="F47" s="31"/>
      <c r="G47" s="34" t="s">
        <v>97</v>
      </c>
      <c r="H47" s="87"/>
      <c r="I47" s="87"/>
      <c r="J47" s="81">
        <f>FraisExploitation[[#This Row],[ESTIMÉ]]-FraisExploitation[[#This Row],[REEL]]</f>
        <v>0</v>
      </c>
      <c r="K47" s="31"/>
    </row>
    <row r="48" spans="1:12" ht="15.75" x14ac:dyDescent="0.25">
      <c r="A48" s="31"/>
      <c r="B48" s="45"/>
      <c r="C48" s="45"/>
      <c r="D48" s="45"/>
      <c r="E48" s="45"/>
      <c r="F48" s="31"/>
      <c r="G48" s="34" t="s">
        <v>98</v>
      </c>
      <c r="H48" s="87"/>
      <c r="I48" s="87"/>
      <c r="J48" s="81">
        <f>FraisExploitation[[#This Row],[ESTIMÉ]]-FraisExploitation[[#This Row],[REEL]]</f>
        <v>0</v>
      </c>
      <c r="K48" s="31"/>
    </row>
    <row r="49" spans="1:12" x14ac:dyDescent="0.25">
      <c r="A49" s="31"/>
      <c r="B49" s="32"/>
      <c r="C49" s="33"/>
      <c r="D49" s="33"/>
      <c r="E49" s="33"/>
      <c r="F49" s="31"/>
      <c r="G49" s="34"/>
      <c r="H49" s="87"/>
      <c r="I49" s="87"/>
      <c r="J49" s="81">
        <f>FraisExploitation[[#This Row],[ESTIMÉ]]-FraisExploitation[[#This Row],[REEL]]</f>
        <v>0</v>
      </c>
      <c r="K49" s="31"/>
    </row>
    <row r="50" spans="1:12" x14ac:dyDescent="0.25">
      <c r="A50" s="31"/>
      <c r="B50" s="34"/>
      <c r="C50" s="38"/>
      <c r="D50" s="39"/>
      <c r="E50" s="35"/>
      <c r="F50" s="31"/>
      <c r="G50" s="31" t="s">
        <v>4</v>
      </c>
      <c r="H50" s="85">
        <f>SUBTOTAL(109,FraisExploitation[ESTIMÉ])</f>
        <v>1100</v>
      </c>
      <c r="I50" s="85">
        <f>SUBTOTAL(109,FraisExploitation[REEL])</f>
        <v>12222</v>
      </c>
      <c r="J50" s="79">
        <f>SUBTOTAL(109,FraisExploitation[DIFFÉRENCE])</f>
        <v>-11122</v>
      </c>
      <c r="K50" s="31"/>
    </row>
    <row r="51" spans="1:12" x14ac:dyDescent="0.25">
      <c r="A51" s="31"/>
      <c r="B51" s="34"/>
      <c r="C51" s="37"/>
      <c r="D51" s="39"/>
      <c r="E51" s="35"/>
      <c r="F51" s="31"/>
      <c r="G51" s="31" t="s">
        <v>92</v>
      </c>
      <c r="H51" s="85"/>
      <c r="I51" s="85"/>
      <c r="J51" s="79"/>
      <c r="K51" s="31"/>
    </row>
    <row r="52" spans="1:12" x14ac:dyDescent="0.25">
      <c r="A52" s="31"/>
      <c r="B52" s="34"/>
      <c r="C52" s="37"/>
      <c r="D52" s="39"/>
      <c r="E52" s="35"/>
      <c r="F52" s="31"/>
      <c r="G52" s="31"/>
      <c r="H52" s="85"/>
      <c r="I52" s="85"/>
      <c r="J52" s="79"/>
      <c r="K52" s="31"/>
    </row>
    <row r="53" spans="1:12" x14ac:dyDescent="0.25">
      <c r="A53" s="31"/>
      <c r="B53" s="34"/>
      <c r="C53" s="37"/>
      <c r="D53" s="39"/>
      <c r="E53" s="35"/>
      <c r="F53" s="31"/>
      <c r="G53" s="31"/>
      <c r="H53" s="85"/>
      <c r="I53" s="85"/>
      <c r="J53" s="79"/>
      <c r="K53" s="31"/>
    </row>
    <row r="54" spans="1:12" x14ac:dyDescent="0.25">
      <c r="A54" s="31"/>
      <c r="B54" s="34"/>
      <c r="C54" s="37"/>
      <c r="D54" s="39"/>
      <c r="E54" s="35"/>
      <c r="F54" s="31"/>
      <c r="K54" s="31"/>
    </row>
    <row r="55" spans="1:12" x14ac:dyDescent="0.25">
      <c r="A55" s="31"/>
      <c r="B55" s="34"/>
      <c r="C55" s="40"/>
      <c r="D55" s="41"/>
      <c r="E55" s="35"/>
      <c r="F55" s="31"/>
      <c r="K55" s="31"/>
    </row>
    <row r="56" spans="1:12" x14ac:dyDescent="0.25">
      <c r="A56" s="31"/>
      <c r="B56" s="31"/>
      <c r="C56" s="31"/>
      <c r="D56" s="31"/>
      <c r="E56" s="31"/>
      <c r="F56" s="31"/>
      <c r="K56" s="31"/>
      <c r="L56" s="31"/>
    </row>
    <row r="57" spans="1:12" x14ac:dyDescent="0.25">
      <c r="A57" s="31"/>
      <c r="B57" s="31"/>
      <c r="C57" s="31"/>
      <c r="D57" s="31"/>
      <c r="E57" s="31"/>
      <c r="F57" s="31"/>
      <c r="K57" s="31"/>
      <c r="L57" s="31"/>
    </row>
    <row r="58" spans="1:12" x14ac:dyDescent="0.25">
      <c r="A58" s="31"/>
      <c r="B58" s="31"/>
      <c r="C58" s="31"/>
      <c r="D58" s="31"/>
      <c r="E58" s="31"/>
      <c r="F58" s="31"/>
      <c r="K58" s="31"/>
      <c r="L58" s="31"/>
    </row>
  </sheetData>
  <mergeCells count="2">
    <mergeCell ref="B47:D47"/>
    <mergeCell ref="G7:H7"/>
  </mergeCells>
  <pageMargins left="0.7" right="0.7" top="0.75" bottom="0.75" header="0.3" footer="0.3"/>
  <pageSetup paperSize="9"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J39:J49 J35 J23:J31</xm:sqref>
        </x14:conditionalFormatting>
      </x14:conditionalFormattings>
    </ex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47" t="s">
        <v>106</v>
      </c>
    </row>
    <row r="18" spans="2:7" ht="23.25" x14ac:dyDescent="0.25">
      <c r="F18" s="47" t="s">
        <v>35</v>
      </c>
    </row>
    <row r="21" spans="2:7" ht="15.75" x14ac:dyDescent="0.25">
      <c r="B21" s="7" t="s">
        <v>43</v>
      </c>
      <c r="C21" s="7" t="s">
        <v>36</v>
      </c>
      <c r="D21" s="7" t="s">
        <v>4</v>
      </c>
      <c r="F21" s="10" t="s">
        <v>38</v>
      </c>
      <c r="G21" s="76">
        <v>200</v>
      </c>
    </row>
    <row r="22" spans="2:7" ht="15.75" x14ac:dyDescent="0.25">
      <c r="B22" s="73">
        <v>1</v>
      </c>
      <c r="C22" s="8">
        <v>0.01</v>
      </c>
      <c r="D22" s="9">
        <f>Tableau23[[#This Row],[Nombre]]*Tableau23[[#This Row],[€]]</f>
        <v>0.01</v>
      </c>
      <c r="F22" s="11" t="s">
        <v>44</v>
      </c>
      <c r="G22" s="13">
        <v>781.03</v>
      </c>
    </row>
    <row r="23" spans="2:7" ht="15.75" x14ac:dyDescent="0.25">
      <c r="B23" s="73">
        <v>2</v>
      </c>
      <c r="C23" s="8">
        <v>0.02</v>
      </c>
      <c r="D23" s="9">
        <f>Tableau23[[#This Row],[Nombre]]*Tableau23[[#This Row],[€]]</f>
        <v>0.04</v>
      </c>
      <c r="F23" s="10" t="s">
        <v>45</v>
      </c>
      <c r="G23" s="12">
        <f>D37</f>
        <v>1251.05</v>
      </c>
    </row>
    <row r="24" spans="2:7" ht="18.75" x14ac:dyDescent="0.3">
      <c r="B24" s="73">
        <v>10</v>
      </c>
      <c r="C24" s="8">
        <v>0.05</v>
      </c>
      <c r="D24" s="9">
        <f>Tableau23[[#This Row],[Nombre]]*Tableau23[[#This Row],[€]]</f>
        <v>0.5</v>
      </c>
      <c r="F24" s="11" t="s">
        <v>46</v>
      </c>
      <c r="G24" s="15">
        <f>ABS(G23-G22)</f>
        <v>470.02</v>
      </c>
    </row>
    <row r="25" spans="2:7" ht="23.25" x14ac:dyDescent="0.35">
      <c r="B25" s="73"/>
      <c r="C25" s="8">
        <v>0.1</v>
      </c>
      <c r="D25" s="9">
        <f>Tableau23[[#This Row],[Nombre]]*Tableau23[[#This Row],[€]]</f>
        <v>0</v>
      </c>
      <c r="F25" s="16" t="s">
        <v>39</v>
      </c>
      <c r="G25" s="14">
        <f>G23-G21</f>
        <v>1051.05</v>
      </c>
    </row>
    <row r="26" spans="2:7" ht="15.75" x14ac:dyDescent="0.25">
      <c r="B26" s="73"/>
      <c r="C26" s="8">
        <v>0.2</v>
      </c>
      <c r="D26" s="9">
        <f>Tableau23[[#This Row],[Nombre]]*Tableau23[[#This Row],[€]]</f>
        <v>0</v>
      </c>
    </row>
    <row r="27" spans="2:7" ht="15.75" x14ac:dyDescent="0.25">
      <c r="B27" s="73">
        <v>23</v>
      </c>
      <c r="C27" s="8">
        <v>0.5</v>
      </c>
      <c r="D27" s="9">
        <f>Tableau23[[#This Row],[Nombre]]*Tableau23[[#This Row],[€]]</f>
        <v>11.5</v>
      </c>
    </row>
    <row r="28" spans="2:7" ht="15.75" x14ac:dyDescent="0.25">
      <c r="B28" s="73">
        <v>3</v>
      </c>
      <c r="C28" s="8">
        <v>1</v>
      </c>
      <c r="D28" s="9">
        <f>Tableau23[[#This Row],[Nombre]]*Tableau23[[#This Row],[€]]</f>
        <v>3</v>
      </c>
      <c r="F28" s="11" t="s">
        <v>47</v>
      </c>
      <c r="G28" s="74">
        <v>4</v>
      </c>
    </row>
    <row r="29" spans="2:7" ht="23.25" x14ac:dyDescent="0.35">
      <c r="B29" s="73">
        <v>8</v>
      </c>
      <c r="C29" s="8">
        <v>2</v>
      </c>
      <c r="D29" s="9">
        <f>Tableau23[[#This Row],[Nombre]]*Tableau23[[#This Row],[€]]</f>
        <v>16</v>
      </c>
      <c r="F29" s="16" t="s">
        <v>4</v>
      </c>
      <c r="G29" s="75">
        <v>51</v>
      </c>
    </row>
    <row r="30" spans="2:7" ht="15.75" x14ac:dyDescent="0.25">
      <c r="B30" s="73">
        <v>6</v>
      </c>
      <c r="C30" s="8">
        <v>5</v>
      </c>
      <c r="D30" s="9">
        <f>Tableau23[[#This Row],[Nombre]]*Tableau23[[#This Row],[€]]</f>
        <v>30</v>
      </c>
    </row>
    <row r="31" spans="2:7" ht="15.75" x14ac:dyDescent="0.25">
      <c r="B31" s="73">
        <v>3</v>
      </c>
      <c r="C31" s="8">
        <v>10</v>
      </c>
      <c r="D31" s="9">
        <f>Tableau23[[#This Row],[Nombre]]*Tableau23[[#This Row],[€]]</f>
        <v>30</v>
      </c>
    </row>
    <row r="32" spans="2:7" ht="15.75" x14ac:dyDescent="0.25">
      <c r="B32" s="73">
        <v>3</v>
      </c>
      <c r="C32" s="8">
        <v>20</v>
      </c>
      <c r="D32" s="9">
        <f>Tableau23[[#This Row],[Nombre]]*Tableau23[[#This Row],[€]]</f>
        <v>60</v>
      </c>
    </row>
    <row r="33" spans="2:4" ht="15.75" x14ac:dyDescent="0.25">
      <c r="B33" s="73">
        <v>2</v>
      </c>
      <c r="C33" s="8">
        <v>50</v>
      </c>
      <c r="D33" s="9">
        <f>Tableau23[[#This Row],[Nombre]]*Tableau23[[#This Row],[€]]</f>
        <v>100</v>
      </c>
    </row>
    <row r="34" spans="2:4" ht="15.75" x14ac:dyDescent="0.25">
      <c r="B34" s="73"/>
      <c r="C34" s="8">
        <v>100</v>
      </c>
      <c r="D34" s="9">
        <f>Tableau23[[#This Row],[Nombre]]*Tableau23[[#This Row],[€]]</f>
        <v>0</v>
      </c>
    </row>
    <row r="35" spans="2:4" ht="15.75" x14ac:dyDescent="0.25">
      <c r="B35" s="73"/>
      <c r="C35" s="8">
        <v>200</v>
      </c>
      <c r="D35" s="9">
        <f>Tableau23[[#This Row],[Nombre]]*Tableau23[[#This Row],[€]]</f>
        <v>0</v>
      </c>
    </row>
    <row r="36" spans="2:4" ht="15.75" x14ac:dyDescent="0.25">
      <c r="B36" s="73">
        <v>2</v>
      </c>
      <c r="C36" s="8">
        <v>500</v>
      </c>
      <c r="D36" s="9">
        <f>Tableau23[[#This Row],[Nombre]]*Tableau23[[#This Row],[€]]</f>
        <v>1000</v>
      </c>
    </row>
    <row r="37" spans="2:4" ht="21" x14ac:dyDescent="0.35">
      <c r="B37" s="97" t="s">
        <v>37</v>
      </c>
      <c r="C37" s="97"/>
      <c r="D37" s="17">
        <f>SUM(Tableau23[Total])</f>
        <v>1251.05</v>
      </c>
    </row>
  </sheetData>
  <sheetProtection sheet="1" objects="1" scenarios="1"/>
  <mergeCells count="1">
    <mergeCell ref="B37:C37"/>
  </mergeCells>
  <conditionalFormatting sqref="G24">
    <cfRule type="cellIs" dxfId="15" priority="1" operator="greaterThan">
      <formula>10</formula>
    </cfRule>
    <cfRule type="cellIs" dxfId="14" priority="2" operator="equal">
      <formula>0</formula>
    </cfRule>
    <cfRule type="cellIs" dxfId="13"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I40"/>
  <sheetViews>
    <sheetView showGridLines="0" workbookViewId="0">
      <selection activeCell="L18" sqref="L18"/>
    </sheetView>
  </sheetViews>
  <sheetFormatPr baseColWidth="10" defaultRowHeight="15" x14ac:dyDescent="0.25"/>
  <cols>
    <col min="1" max="1" width="11.28515625" style="6" customWidth="1"/>
    <col min="2" max="2" width="13" style="6" customWidth="1"/>
    <col min="3" max="3" width="12.5703125" style="18" customWidth="1"/>
    <col min="4" max="4" width="17" style="23" customWidth="1"/>
    <col min="5" max="5" width="15.42578125" style="26" customWidth="1"/>
    <col min="6" max="6" width="12.5703125" style="23" customWidth="1"/>
    <col min="7" max="7" width="15.42578125" style="23" bestFit="1" customWidth="1"/>
    <col min="8" max="8" width="15" style="23" bestFit="1" customWidth="1"/>
    <col min="9" max="9" width="28.28515625" style="19" customWidth="1"/>
    <col min="10" max="10" width="7" style="6" customWidth="1"/>
    <col min="11" max="16384" width="11.42578125" style="6"/>
  </cols>
  <sheetData>
    <row r="9" spans="2:9" ht="23.25" x14ac:dyDescent="0.25">
      <c r="G9" s="98" t="s">
        <v>112</v>
      </c>
      <c r="H9" s="98"/>
    </row>
    <row r="11" spans="2:9" s="18" customFormat="1" x14ac:dyDescent="0.25">
      <c r="D11" s="21"/>
      <c r="F11" s="21"/>
      <c r="G11" s="21"/>
      <c r="H11" s="21"/>
      <c r="I11" s="19"/>
    </row>
    <row r="13" spans="2:9" ht="30" x14ac:dyDescent="0.25">
      <c r="B13" s="18" t="s">
        <v>7</v>
      </c>
      <c r="C13" s="18" t="s">
        <v>106</v>
      </c>
      <c r="D13" s="21" t="s">
        <v>107</v>
      </c>
      <c r="E13" s="18" t="s">
        <v>108</v>
      </c>
      <c r="F13" s="21" t="s">
        <v>109</v>
      </c>
      <c r="G13" s="21" t="s">
        <v>110</v>
      </c>
      <c r="H13" s="21" t="s">
        <v>111</v>
      </c>
      <c r="I13" s="21" t="s">
        <v>52</v>
      </c>
    </row>
    <row r="14" spans="2:9" x14ac:dyDescent="0.25">
      <c r="B14" s="29">
        <v>41368</v>
      </c>
      <c r="C14" s="18">
        <v>5</v>
      </c>
      <c r="D14" s="23">
        <v>200</v>
      </c>
      <c r="E14" s="26">
        <v>2</v>
      </c>
      <c r="F14" s="23">
        <v>32</v>
      </c>
      <c r="G14" s="23">
        <v>32</v>
      </c>
      <c r="H14" s="23">
        <f t="shared" ref="H14:H19" si="0">IF(ISERROR(H13+G14),G14,H13+G14)</f>
        <v>32</v>
      </c>
      <c r="I14" s="22"/>
    </row>
    <row r="15" spans="2:9" x14ac:dyDescent="0.25">
      <c r="B15" s="29">
        <v>41390</v>
      </c>
      <c r="C15" s="18">
        <v>5</v>
      </c>
      <c r="D15" s="23">
        <v>246.2</v>
      </c>
      <c r="E15" s="26">
        <v>2</v>
      </c>
      <c r="F15" s="23">
        <v>32</v>
      </c>
      <c r="G15" s="23">
        <v>78.199999999999989</v>
      </c>
      <c r="H15" s="23">
        <f t="shared" si="0"/>
        <v>110.19999999999999</v>
      </c>
      <c r="I15" s="22"/>
    </row>
    <row r="16" spans="2:9" x14ac:dyDescent="0.25">
      <c r="B16" s="29">
        <v>41391</v>
      </c>
      <c r="C16" s="18">
        <v>1</v>
      </c>
      <c r="D16" s="23">
        <v>200.2</v>
      </c>
      <c r="E16" s="26">
        <v>2</v>
      </c>
      <c r="F16" s="23">
        <v>32</v>
      </c>
      <c r="G16" s="23">
        <v>32.199999999999989</v>
      </c>
      <c r="H16" s="23">
        <f t="shared" si="0"/>
        <v>142.39999999999998</v>
      </c>
      <c r="I16" s="22"/>
    </row>
    <row r="17" spans="1:9" x14ac:dyDescent="0.25">
      <c r="B17" s="29">
        <v>41392</v>
      </c>
      <c r="C17" s="18">
        <v>4</v>
      </c>
      <c r="D17" s="23">
        <v>318.7</v>
      </c>
      <c r="E17" s="26">
        <v>2</v>
      </c>
      <c r="F17" s="23">
        <v>32</v>
      </c>
      <c r="G17" s="23">
        <v>150.69999999999999</v>
      </c>
      <c r="H17" s="23">
        <f t="shared" si="0"/>
        <v>293.09999999999997</v>
      </c>
      <c r="I17" s="22"/>
    </row>
    <row r="18" spans="1:9" x14ac:dyDescent="0.25">
      <c r="B18" s="29">
        <v>41397</v>
      </c>
      <c r="C18" s="18">
        <v>4</v>
      </c>
      <c r="D18" s="23">
        <v>318.7</v>
      </c>
      <c r="E18" s="26">
        <v>2</v>
      </c>
      <c r="F18" s="23">
        <v>32</v>
      </c>
      <c r="G18" s="23">
        <v>150.69999999999999</v>
      </c>
      <c r="H18" s="23">
        <f t="shared" si="0"/>
        <v>443.79999999999995</v>
      </c>
      <c r="I18" s="22"/>
    </row>
    <row r="19" spans="1:9" x14ac:dyDescent="0.25">
      <c r="B19" s="29">
        <v>41399</v>
      </c>
      <c r="C19" s="18">
        <v>1</v>
      </c>
      <c r="D19" s="23">
        <v>1251.04</v>
      </c>
      <c r="E19" s="26">
        <v>4</v>
      </c>
      <c r="F19" s="23">
        <v>51</v>
      </c>
      <c r="G19" s="23">
        <v>1102.04</v>
      </c>
      <c r="H19" s="23">
        <f t="shared" si="0"/>
        <v>1545.84</v>
      </c>
      <c r="I19" s="22"/>
    </row>
    <row r="20" spans="1:9" x14ac:dyDescent="0.25">
      <c r="B20" s="29">
        <v>41393</v>
      </c>
      <c r="C20" s="18">
        <v>4</v>
      </c>
      <c r="D20" s="23">
        <v>1251.05</v>
      </c>
      <c r="E20" s="26">
        <v>4</v>
      </c>
      <c r="F20" s="23">
        <v>51</v>
      </c>
      <c r="G20" s="23">
        <v>1102.05</v>
      </c>
      <c r="H20" s="23">
        <f>IF(ISERROR(H19+G20),G20,H19+G20)</f>
        <v>2647.89</v>
      </c>
      <c r="I20" s="22"/>
    </row>
    <row r="21" spans="1:9" x14ac:dyDescent="0.25">
      <c r="B21" s="29">
        <v>41396</v>
      </c>
      <c r="C21" s="18">
        <v>4</v>
      </c>
      <c r="D21" s="23">
        <v>1251.05</v>
      </c>
      <c r="E21" s="26">
        <v>4</v>
      </c>
      <c r="F21" s="23">
        <v>51</v>
      </c>
      <c r="G21" s="23">
        <v>1102.05</v>
      </c>
      <c r="H21" s="23">
        <f>IF(ISERROR(H20+G21),G21,H20+G21)</f>
        <v>3749.9399999999996</v>
      </c>
      <c r="I21" s="22" t="s">
        <v>172</v>
      </c>
    </row>
    <row r="23" spans="1:9" x14ac:dyDescent="0.25">
      <c r="C23" s="77"/>
      <c r="D23"/>
      <c r="E23" s="68"/>
      <c r="F23"/>
    </row>
    <row r="24" spans="1:9" x14ac:dyDescent="0.25">
      <c r="C24" s="77"/>
      <c r="D24"/>
      <c r="E24" s="68"/>
      <c r="F24"/>
    </row>
    <row r="25" spans="1:9" x14ac:dyDescent="0.25">
      <c r="C25" s="77"/>
    </row>
    <row r="26" spans="1:9" x14ac:dyDescent="0.25">
      <c r="C26" s="77"/>
    </row>
    <row r="27" spans="1:9" x14ac:dyDescent="0.25">
      <c r="C27" s="77"/>
    </row>
    <row r="28" spans="1:9" x14ac:dyDescent="0.25">
      <c r="A28"/>
      <c r="C28" s="77"/>
    </row>
    <row r="29" spans="1:9" x14ac:dyDescent="0.25">
      <c r="A29"/>
      <c r="C29" s="77"/>
    </row>
    <row r="30" spans="1:9" x14ac:dyDescent="0.25">
      <c r="A30"/>
      <c r="B30"/>
      <c r="C30" s="77"/>
    </row>
    <row r="31" spans="1:9" x14ac:dyDescent="0.25">
      <c r="A31"/>
      <c r="B31"/>
      <c r="C31" s="77"/>
    </row>
    <row r="32" spans="1:9" x14ac:dyDescent="0.25">
      <c r="A32"/>
      <c r="B32"/>
      <c r="C32" s="77"/>
    </row>
    <row r="33" spans="1:3" x14ac:dyDescent="0.25">
      <c r="A33"/>
      <c r="B33"/>
      <c r="C33" s="77"/>
    </row>
    <row r="34" spans="1:3" x14ac:dyDescent="0.25">
      <c r="A34"/>
      <c r="B34"/>
      <c r="C34" s="77"/>
    </row>
    <row r="35" spans="1:3" x14ac:dyDescent="0.25">
      <c r="A35"/>
      <c r="B35"/>
      <c r="C35" s="77"/>
    </row>
    <row r="36" spans="1:3" x14ac:dyDescent="0.25">
      <c r="A36"/>
      <c r="B36"/>
      <c r="C36" s="77"/>
    </row>
    <row r="37" spans="1:3" x14ac:dyDescent="0.25">
      <c r="A37"/>
      <c r="B37"/>
      <c r="C37" s="77"/>
    </row>
    <row r="38" spans="1:3" x14ac:dyDescent="0.25">
      <c r="A38"/>
      <c r="B38"/>
      <c r="C38" s="77"/>
    </row>
    <row r="39" spans="1:3" x14ac:dyDescent="0.25">
      <c r="B39"/>
      <c r="C39" s="77"/>
    </row>
    <row r="40" spans="1:3" x14ac:dyDescent="0.25">
      <c r="B40"/>
      <c r="C40" s="77"/>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42</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J5" sqref="J5"/>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topLeftCell="B28" workbookViewId="0">
      <selection activeCell="F43" sqref="F43"/>
    </sheetView>
  </sheetViews>
  <sheetFormatPr baseColWidth="10" defaultRowHeight="15" x14ac:dyDescent="0.25"/>
  <cols>
    <col min="1" max="1" width="15.28515625" customWidth="1"/>
    <col min="2" max="2" width="8.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49" t="s">
        <v>114</v>
      </c>
      <c r="B1" t="s">
        <v>115</v>
      </c>
    </row>
    <row r="2" spans="1:9" x14ac:dyDescent="0.25">
      <c r="A2" s="50">
        <v>1</v>
      </c>
      <c r="B2" s="48">
        <v>567.12</v>
      </c>
    </row>
    <row r="3" spans="1:9" x14ac:dyDescent="0.25">
      <c r="A3" s="50">
        <v>4</v>
      </c>
      <c r="B3" s="48">
        <v>467.81666666666661</v>
      </c>
    </row>
    <row r="4" spans="1:9" x14ac:dyDescent="0.25">
      <c r="A4" s="50">
        <v>5</v>
      </c>
      <c r="B4" s="48">
        <v>55.099999999999994</v>
      </c>
    </row>
    <row r="5" spans="1:9" x14ac:dyDescent="0.25">
      <c r="A5" s="50" t="s">
        <v>113</v>
      </c>
      <c r="B5" s="48">
        <v>378.27</v>
      </c>
    </row>
    <row r="10" spans="1:9" x14ac:dyDescent="0.25">
      <c r="A10" s="49" t="s">
        <v>9</v>
      </c>
      <c r="B10" t="s">
        <v>116</v>
      </c>
    </row>
    <row r="11" spans="1:9" x14ac:dyDescent="0.25">
      <c r="A11" s="49" t="s">
        <v>118</v>
      </c>
      <c r="B11" t="s">
        <v>116</v>
      </c>
    </row>
    <row r="13" spans="1:9" x14ac:dyDescent="0.25">
      <c r="A13" s="49" t="s">
        <v>114</v>
      </c>
      <c r="B13" t="s">
        <v>117</v>
      </c>
    </row>
    <row r="14" spans="1:9" x14ac:dyDescent="0.25">
      <c r="A14" s="50" t="s">
        <v>132</v>
      </c>
      <c r="B14" s="48">
        <v>52.5</v>
      </c>
      <c r="H14" s="50"/>
      <c r="I14" s="48"/>
    </row>
    <row r="15" spans="1:9" x14ac:dyDescent="0.25">
      <c r="A15" s="50" t="s">
        <v>119</v>
      </c>
      <c r="B15" s="48">
        <v>5.2899999999999991</v>
      </c>
      <c r="H15" s="50"/>
      <c r="I15" s="48"/>
    </row>
    <row r="16" spans="1:9" x14ac:dyDescent="0.25">
      <c r="A16" s="50" t="s">
        <v>130</v>
      </c>
      <c r="B16" s="48">
        <v>10</v>
      </c>
      <c r="H16" s="50"/>
      <c r="I16" s="48"/>
    </row>
    <row r="17" spans="1:9" x14ac:dyDescent="0.25">
      <c r="A17" s="50" t="s">
        <v>134</v>
      </c>
      <c r="B17" s="48">
        <v>220</v>
      </c>
      <c r="H17" s="50"/>
      <c r="I17" s="48"/>
    </row>
    <row r="18" spans="1:9" x14ac:dyDescent="0.25">
      <c r="A18" s="50" t="s">
        <v>163</v>
      </c>
      <c r="B18" s="48">
        <v>9</v>
      </c>
      <c r="H18" s="50"/>
      <c r="I18" s="48"/>
    </row>
    <row r="19" spans="1:9" x14ac:dyDescent="0.25">
      <c r="A19" s="50" t="s">
        <v>113</v>
      </c>
      <c r="B19" s="48">
        <v>296.78999999999996</v>
      </c>
      <c r="H19" s="50"/>
      <c r="I19" s="48"/>
    </row>
    <row r="22" spans="1:9" x14ac:dyDescent="0.25">
      <c r="A22" s="49" t="s">
        <v>118</v>
      </c>
      <c r="B22" t="s">
        <v>116</v>
      </c>
    </row>
    <row r="23" spans="1:9" x14ac:dyDescent="0.25">
      <c r="A23" s="49" t="s">
        <v>9</v>
      </c>
      <c r="B23" t="s">
        <v>116</v>
      </c>
    </row>
    <row r="25" spans="1:9" x14ac:dyDescent="0.25">
      <c r="A25" s="49" t="s">
        <v>114</v>
      </c>
      <c r="B25" t="s">
        <v>117</v>
      </c>
    </row>
    <row r="26" spans="1:9" x14ac:dyDescent="0.25">
      <c r="A26" s="50" t="s">
        <v>59</v>
      </c>
      <c r="B26" s="48">
        <v>55.29</v>
      </c>
    </row>
    <row r="27" spans="1:9" x14ac:dyDescent="0.25">
      <c r="A27" s="50" t="s">
        <v>66</v>
      </c>
      <c r="B27" s="48">
        <v>131</v>
      </c>
    </row>
    <row r="28" spans="1:9" x14ac:dyDescent="0.25">
      <c r="A28" s="50" t="s">
        <v>149</v>
      </c>
      <c r="B28" s="48">
        <v>79.5</v>
      </c>
    </row>
    <row r="29" spans="1:9" x14ac:dyDescent="0.25">
      <c r="A29" s="50" t="s">
        <v>74</v>
      </c>
      <c r="B29" s="48">
        <v>10</v>
      </c>
    </row>
    <row r="30" spans="1:9" x14ac:dyDescent="0.25">
      <c r="A30" s="50" t="s">
        <v>152</v>
      </c>
      <c r="B30" s="48">
        <v>21</v>
      </c>
    </row>
    <row r="31" spans="1:9" x14ac:dyDescent="0.25">
      <c r="A31" s="50" t="s">
        <v>113</v>
      </c>
      <c r="B31" s="48">
        <v>296.78999999999996</v>
      </c>
    </row>
    <row r="34" spans="1:6" x14ac:dyDescent="0.25">
      <c r="A34" s="49" t="s">
        <v>117</v>
      </c>
      <c r="B34" s="49" t="s">
        <v>162</v>
      </c>
    </row>
    <row r="35" spans="1:6" x14ac:dyDescent="0.25">
      <c r="A35" s="49" t="s">
        <v>114</v>
      </c>
      <c r="B35">
        <v>1</v>
      </c>
      <c r="C35">
        <v>2</v>
      </c>
      <c r="D35">
        <v>3</v>
      </c>
      <c r="E35">
        <v>4</v>
      </c>
      <c r="F35" t="s">
        <v>113</v>
      </c>
    </row>
    <row r="36" spans="1:6" x14ac:dyDescent="0.25">
      <c r="A36" s="50" t="s">
        <v>161</v>
      </c>
      <c r="B36" s="48"/>
      <c r="C36" s="48"/>
      <c r="D36" s="48"/>
      <c r="E36" s="48">
        <v>40</v>
      </c>
      <c r="F36" s="48">
        <v>40</v>
      </c>
    </row>
    <row r="37" spans="1:6" x14ac:dyDescent="0.25">
      <c r="A37" s="67" t="s">
        <v>159</v>
      </c>
      <c r="B37" s="48"/>
      <c r="C37" s="48"/>
      <c r="D37" s="48"/>
      <c r="E37" s="48">
        <v>40</v>
      </c>
      <c r="F37" s="48">
        <v>40</v>
      </c>
    </row>
    <row r="38" spans="1:6" x14ac:dyDescent="0.25">
      <c r="A38" s="50" t="s">
        <v>160</v>
      </c>
      <c r="B38" s="48">
        <v>5.2899999999999991</v>
      </c>
      <c r="C38" s="48">
        <v>19</v>
      </c>
      <c r="D38" s="48">
        <v>52.5</v>
      </c>
      <c r="E38" s="48">
        <v>180</v>
      </c>
      <c r="F38" s="48">
        <v>256.79000000000002</v>
      </c>
    </row>
    <row r="39" spans="1:6" x14ac:dyDescent="0.25">
      <c r="A39" s="67" t="s">
        <v>155</v>
      </c>
      <c r="B39" s="48"/>
      <c r="C39" s="48"/>
      <c r="D39" s="48">
        <v>11</v>
      </c>
      <c r="E39" s="48"/>
      <c r="F39" s="48">
        <v>11</v>
      </c>
    </row>
    <row r="40" spans="1:6" x14ac:dyDescent="0.25">
      <c r="A40" s="67" t="s">
        <v>156</v>
      </c>
      <c r="B40" s="48">
        <v>2.76</v>
      </c>
      <c r="C40" s="48"/>
      <c r="D40" s="48"/>
      <c r="E40" s="48"/>
      <c r="F40" s="48">
        <v>2.76</v>
      </c>
    </row>
    <row r="41" spans="1:6" x14ac:dyDescent="0.25">
      <c r="A41" s="67" t="s">
        <v>157</v>
      </c>
      <c r="B41" s="48"/>
      <c r="C41" s="48">
        <v>14</v>
      </c>
      <c r="D41" s="48">
        <v>20.5</v>
      </c>
      <c r="E41" s="48">
        <v>60</v>
      </c>
      <c r="F41" s="48">
        <v>94.5</v>
      </c>
    </row>
    <row r="42" spans="1:6" x14ac:dyDescent="0.25">
      <c r="A42" s="67" t="s">
        <v>158</v>
      </c>
      <c r="B42" s="48">
        <v>2.5299999999999998</v>
      </c>
      <c r="C42" s="48">
        <v>5</v>
      </c>
      <c r="D42" s="48">
        <v>21</v>
      </c>
      <c r="E42" s="48">
        <v>120</v>
      </c>
      <c r="F42" s="48">
        <v>148.53</v>
      </c>
    </row>
    <row r="43" spans="1:6" x14ac:dyDescent="0.25">
      <c r="A43" s="50" t="s">
        <v>113</v>
      </c>
      <c r="B43" s="48">
        <v>5.2899999999999991</v>
      </c>
      <c r="C43" s="48">
        <v>19</v>
      </c>
      <c r="D43" s="48">
        <v>52.5</v>
      </c>
      <c r="E43" s="48">
        <v>220</v>
      </c>
      <c r="F43" s="48">
        <v>296.78999999999996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5"/>
  <sheetViews>
    <sheetView workbookViewId="0">
      <selection activeCell="D15" sqref="D15"/>
    </sheetView>
  </sheetViews>
  <sheetFormatPr baseColWidth="10" defaultRowHeight="15" x14ac:dyDescent="0.25"/>
  <cols>
    <col min="1" max="1" width="15.28515625" bestFit="1" customWidth="1"/>
    <col min="2" max="2" width="8.85546875" bestFit="1" customWidth="1"/>
  </cols>
  <sheetData>
    <row r="1" spans="1:2" x14ac:dyDescent="0.25">
      <c r="A1" s="49" t="s">
        <v>154</v>
      </c>
      <c r="B1" t="s">
        <v>116</v>
      </c>
    </row>
    <row r="2" spans="1:2" x14ac:dyDescent="0.25">
      <c r="A2" s="49" t="s">
        <v>118</v>
      </c>
      <c r="B2" t="s">
        <v>116</v>
      </c>
    </row>
    <row r="4" spans="1:2" x14ac:dyDescent="0.25">
      <c r="A4" t="s">
        <v>117</v>
      </c>
    </row>
    <row r="5" spans="1:2" x14ac:dyDescent="0.25">
      <c r="A5" s="48">
        <v>296.78999999999996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Code caisse</vt:lpstr>
      <vt:lpstr>TableauxDynamiques</vt:lpstr>
      <vt:lpstr>BudgetDynamique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2013-05-02T14:22:28Z</dcterms:modified>
</cp:coreProperties>
</file>