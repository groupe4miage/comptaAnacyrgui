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tables/table20.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1.xml" ContentType="application/vnd.openxmlformats-officedocument.spreadsheetml.table+xml"/>
  <Override PartName="/xl/drawings/drawing6.xml" ContentType="application/vnd.openxmlformats-officedocument.drawing+xml"/>
  <Override PartName="/xl/tables/table22.xml" ContentType="application/vnd.openxmlformats-officedocument.spreadsheetml.table+xml"/>
  <Override PartName="/xl/drawings/drawing7.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harts/chart1.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tables/table2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0" yWindow="30" windowWidth="14115" windowHeight="7230" tabRatio="854" activeTab="8"/>
  </bookViews>
  <sheets>
    <sheet name="Menu" sheetId="4" r:id="rId1"/>
    <sheet name="Gestion des produits" sheetId="8" r:id="rId2"/>
    <sheet name="Gestion des fournisseurs" sheetId="10" r:id="rId3"/>
    <sheet name="Gestion des stocks" sheetId="1" r:id="rId4"/>
    <sheet name="Journal des achats" sheetId="15" r:id="rId5"/>
    <sheet name="Journal des ventes" sheetId="16" r:id="rId6"/>
    <sheet name="Vue des stocks" sheetId="17" r:id="rId7"/>
    <sheet name="Bilan" sheetId="3" r:id="rId8"/>
    <sheet name="Budget Mensuel" sheetId="5" r:id="rId9"/>
    <sheet name="Tableau de bord" sheetId="13" r:id="rId10"/>
    <sheet name="Fiche de caisse" sheetId="14" r:id="rId11"/>
    <sheet name="Calcul du cout des stocks" sheetId="7" r:id="rId12"/>
    <sheet name="Code caisse" sheetId="9" r:id="rId13"/>
  </sheets>
  <externalReferences>
    <externalReference r:id="rId14"/>
  </externalReferences>
  <calcPr calcId="145621"/>
</workbook>
</file>

<file path=xl/calcChain.xml><?xml version="1.0" encoding="utf-8"?>
<calcChain xmlns="http://schemas.openxmlformats.org/spreadsheetml/2006/main">
  <c r="J20" i="5" l="1"/>
  <c r="J26" i="5"/>
  <c r="J27" i="5" s="1"/>
  <c r="J22" i="5"/>
  <c r="J21" i="5"/>
  <c r="J40" i="5"/>
  <c r="J39" i="5"/>
  <c r="J38" i="5"/>
  <c r="J37" i="5"/>
  <c r="J36" i="5"/>
  <c r="J35" i="5"/>
  <c r="J34" i="5"/>
  <c r="J33" i="5"/>
  <c r="J32" i="5"/>
  <c r="J31" i="5"/>
  <c r="J30" i="5"/>
  <c r="I41" i="5"/>
  <c r="H41" i="5"/>
  <c r="I27" i="5"/>
  <c r="H27" i="5"/>
  <c r="I23" i="5"/>
  <c r="D17" i="5" s="1"/>
  <c r="H23" i="5"/>
  <c r="C17" i="5" s="1"/>
  <c r="J19" i="5"/>
  <c r="J18" i="5"/>
  <c r="J17" i="5"/>
  <c r="C18" i="5" l="1"/>
  <c r="C19" i="5" s="1"/>
  <c r="J41" i="5"/>
  <c r="D18" i="5"/>
  <c r="J23" i="5"/>
  <c r="E17" i="5"/>
  <c r="E18" i="5" l="1"/>
  <c r="D19" i="5"/>
  <c r="E19" i="5"/>
  <c r="K29" i="16" l="1"/>
  <c r="K28" i="16" l="1"/>
  <c r="K27" i="16"/>
  <c r="C23" i="10"/>
  <c r="C22" i="10"/>
  <c r="C22" i="8"/>
  <c r="K26" i="16"/>
  <c r="C33" i="8" l="1"/>
  <c r="C21" i="10"/>
  <c r="C28" i="8" l="1"/>
  <c r="C27" i="8"/>
  <c r="C21" i="8"/>
  <c r="C20" i="10"/>
  <c r="C20" i="8"/>
  <c r="K25" i="16"/>
  <c r="K24" i="16" l="1"/>
  <c r="K23" i="16"/>
  <c r="K22" i="16"/>
  <c r="K21" i="16"/>
  <c r="C19" i="10" l="1"/>
  <c r="C32" i="8"/>
  <c r="C26" i="8"/>
  <c r="C19" i="8" l="1"/>
  <c r="K20" i="16"/>
  <c r="K19" i="16"/>
  <c r="K18" i="16"/>
  <c r="C18" i="8" l="1"/>
  <c r="D12" i="14" l="1"/>
  <c r="D13" i="14"/>
  <c r="D14" i="14"/>
  <c r="D15" i="14"/>
  <c r="D16" i="14"/>
  <c r="D17" i="14"/>
  <c r="D18" i="14"/>
  <c r="D19" i="14"/>
  <c r="D20" i="14"/>
  <c r="D21" i="14"/>
  <c r="D22" i="14"/>
  <c r="D23" i="14"/>
  <c r="D24" i="14"/>
  <c r="D25" i="14"/>
  <c r="D26" i="14"/>
  <c r="C18" i="10"/>
  <c r="C17" i="10"/>
  <c r="C31" i="8" l="1"/>
  <c r="C25" i="8" l="1"/>
  <c r="C17" i="8" l="1"/>
  <c r="C16" i="8"/>
  <c r="D27" i="14" l="1"/>
  <c r="D79" i="8"/>
  <c r="C79" i="8"/>
  <c r="D76" i="8"/>
  <c r="C76" i="8"/>
  <c r="D73" i="8"/>
  <c r="C73" i="8"/>
  <c r="D70" i="8"/>
  <c r="C70" i="8"/>
  <c r="D67" i="8"/>
  <c r="C67" i="8"/>
  <c r="D64" i="8"/>
  <c r="C64" i="8"/>
  <c r="D61" i="8"/>
  <c r="C61" i="8"/>
  <c r="D58" i="8"/>
  <c r="C58" i="8"/>
  <c r="D55" i="8"/>
  <c r="C55" i="8"/>
  <c r="D52" i="8"/>
  <c r="C52" i="8"/>
  <c r="D49" i="8"/>
  <c r="C49" i="8"/>
  <c r="D46" i="8"/>
  <c r="C46" i="8"/>
  <c r="D43" i="8"/>
  <c r="C43" i="8"/>
  <c r="C40" i="8"/>
  <c r="D40" i="8"/>
  <c r="C37" i="8"/>
  <c r="D37" i="8"/>
  <c r="D34" i="8"/>
  <c r="C34" i="8"/>
  <c r="D29" i="8"/>
  <c r="C29" i="8"/>
  <c r="C23" i="8"/>
  <c r="D23" i="8"/>
  <c r="C14" i="8"/>
  <c r="D14" i="8"/>
  <c r="B79" i="8"/>
  <c r="B76" i="8"/>
  <c r="B73" i="8"/>
  <c r="B70" i="8"/>
  <c r="B67" i="8"/>
  <c r="B64" i="8"/>
  <c r="B61" i="8"/>
  <c r="B58" i="8"/>
  <c r="B55" i="8"/>
  <c r="B52" i="8"/>
  <c r="B49" i="8"/>
  <c r="B46" i="8"/>
  <c r="B43" i="8"/>
  <c r="B40" i="8"/>
  <c r="B37" i="8"/>
  <c r="B34" i="8"/>
  <c r="B29" i="8"/>
  <c r="B23" i="8"/>
  <c r="B14" i="8"/>
  <c r="G13" i="14" l="1"/>
  <c r="G14" i="14" l="1"/>
  <c r="G15" i="14"/>
</calcChain>
</file>

<file path=xl/sharedStrings.xml><?xml version="1.0" encoding="utf-8"?>
<sst xmlns="http://schemas.openxmlformats.org/spreadsheetml/2006/main" count="445" uniqueCount="189">
  <si>
    <t>Référence produit</t>
  </si>
  <si>
    <t>Désignation</t>
  </si>
  <si>
    <t>Prix de vente</t>
  </si>
  <si>
    <t>FIFO</t>
  </si>
  <si>
    <t>décomposition du cout</t>
  </si>
  <si>
    <t>Fournisseur</t>
  </si>
  <si>
    <t>Total</t>
  </si>
  <si>
    <t>Référence</t>
  </si>
  <si>
    <t>Quantité</t>
  </si>
  <si>
    <t>Date</t>
  </si>
  <si>
    <t>Marque</t>
  </si>
  <si>
    <t>Code caisse</t>
  </si>
  <si>
    <t>Codes caisses</t>
  </si>
  <si>
    <t>Bonbons</t>
  </si>
  <si>
    <t>Boucles d'oreilles</t>
  </si>
  <si>
    <t>Cosmétiques</t>
  </si>
  <si>
    <t>Cartes cadeaux</t>
  </si>
  <si>
    <t>Echarpes bijoux</t>
  </si>
  <si>
    <t>Bagues</t>
  </si>
  <si>
    <t>Coques de téléphones</t>
  </si>
  <si>
    <t>Cadeaux</t>
  </si>
  <si>
    <t xml:space="preserve">Tatoos </t>
  </si>
  <si>
    <t>Accessoires Ongles</t>
  </si>
  <si>
    <t>Accessoires Tatoos</t>
  </si>
  <si>
    <t>Vernis</t>
  </si>
  <si>
    <t>Bijoux de sac</t>
  </si>
  <si>
    <t>Chainettes chevilles</t>
  </si>
  <si>
    <t>Piercings</t>
  </si>
  <si>
    <t>Clous d'oreilles</t>
  </si>
  <si>
    <t>Bracelets</t>
  </si>
  <si>
    <t>Parrures</t>
  </si>
  <si>
    <t>Colliers</t>
  </si>
  <si>
    <t>Menu principal</t>
  </si>
  <si>
    <t>Gestion des fournisseurs</t>
  </si>
  <si>
    <t>Adresse site</t>
  </si>
  <si>
    <t>Autre contact</t>
  </si>
  <si>
    <t>Gestion des produits</t>
  </si>
  <si>
    <t>Fiche de caisse</t>
  </si>
  <si>
    <t>€</t>
  </si>
  <si>
    <t>TOTAL</t>
  </si>
  <si>
    <t>Fond de caisse debut de journée</t>
  </si>
  <si>
    <t xml:space="preserve">Total à enlever </t>
  </si>
  <si>
    <t>Gestion des stocks</t>
  </si>
  <si>
    <t>Bilan</t>
  </si>
  <si>
    <t>Compte de résultat</t>
  </si>
  <si>
    <t>Tableau de bord</t>
  </si>
  <si>
    <t>fg</t>
  </si>
  <si>
    <t>tr</t>
  </si>
  <si>
    <t>yrt</t>
  </si>
  <si>
    <t>a</t>
  </si>
  <si>
    <t>b</t>
  </si>
  <si>
    <t>kjfdbg</t>
  </si>
  <si>
    <t>dknfq</t>
  </si>
  <si>
    <t>qskjhdfbjqhdsbfkbjqs</t>
  </si>
  <si>
    <t>qtrfhqfdqhdfh</t>
  </si>
  <si>
    <t>qdfhqf</t>
  </si>
  <si>
    <t>c</t>
  </si>
  <si>
    <t>d</t>
  </si>
  <si>
    <t>Nombre</t>
  </si>
  <si>
    <t>Fond de caisse théorique fin de journée</t>
  </si>
  <si>
    <t xml:space="preserve">Fond de caisse réel fin de journée </t>
  </si>
  <si>
    <t>Ecart Réel / Théorique</t>
  </si>
  <si>
    <t>Paiements Chèques</t>
  </si>
  <si>
    <t>Journal des achats</t>
  </si>
  <si>
    <t>Journal des ventes</t>
  </si>
  <si>
    <t>Vue des stocks</t>
  </si>
  <si>
    <t>Prix d'achat unitaire</t>
  </si>
  <si>
    <t>Commentaires</t>
  </si>
  <si>
    <t>Prix de vente unitaire</t>
  </si>
  <si>
    <t>jhdsgfds</t>
  </si>
  <si>
    <t>jqsdhfg</t>
  </si>
  <si>
    <t>dhsf</t>
  </si>
  <si>
    <t>18/04/2013</t>
  </si>
  <si>
    <t>BOU001</t>
  </si>
  <si>
    <t>cherrrrrrrr</t>
  </si>
  <si>
    <t>COL001</t>
  </si>
  <si>
    <t>jkhf</t>
  </si>
  <si>
    <t>BON003</t>
  </si>
  <si>
    <t>fdgfd</t>
  </si>
  <si>
    <t>BON002</t>
  </si>
  <si>
    <t>gffd</t>
  </si>
  <si>
    <t>Mode paiement</t>
  </si>
  <si>
    <t>Nature opération</t>
  </si>
  <si>
    <t>Soldes</t>
  </si>
  <si>
    <t>Vente Boutique</t>
  </si>
  <si>
    <t>OUI</t>
  </si>
  <si>
    <t>Espèces</t>
  </si>
  <si>
    <t>reter</t>
  </si>
  <si>
    <t>Vente Camping</t>
  </si>
  <si>
    <t>Carte cadeau</t>
  </si>
  <si>
    <t>dfsg</t>
  </si>
  <si>
    <t>Coût du stock</t>
  </si>
  <si>
    <t>Valeur à la vente</t>
  </si>
  <si>
    <t>jhgefer</t>
  </si>
  <si>
    <t>re</t>
  </si>
  <si>
    <t>boucles</t>
  </si>
  <si>
    <t>HBD</t>
  </si>
  <si>
    <t>col</t>
  </si>
  <si>
    <t>sdkj</t>
  </si>
  <si>
    <t>dslkjfd</t>
  </si>
  <si>
    <t>fgddqdsqsdg</t>
  </si>
  <si>
    <t>dff</t>
  </si>
  <si>
    <t>ed</t>
  </si>
  <si>
    <t>COL002</t>
  </si>
  <si>
    <t>fdf</t>
  </si>
  <si>
    <t>BOU002</t>
  </si>
  <si>
    <t>dqfr</t>
  </si>
  <si>
    <t>rere</t>
  </si>
  <si>
    <t>eeez</t>
  </si>
  <si>
    <t>Vente CE</t>
  </si>
  <si>
    <t>Chèque</t>
  </si>
  <si>
    <t>BON004</t>
  </si>
  <si>
    <t>sdfdd</t>
  </si>
  <si>
    <t>ertrtr</t>
  </si>
  <si>
    <t>qrzqferf</t>
  </si>
  <si>
    <t>fder</t>
  </si>
  <si>
    <t>ssgsfd</t>
  </si>
  <si>
    <t>sfdgfg</t>
  </si>
  <si>
    <t>eeeeee</t>
  </si>
  <si>
    <t>qskdjhf</t>
  </si>
  <si>
    <t>efff</t>
  </si>
  <si>
    <t>2,4</t>
  </si>
  <si>
    <t>test</t>
  </si>
  <si>
    <t>jd</t>
  </si>
  <si>
    <t>erdfrdffdd</t>
  </si>
  <si>
    <t>rrr</t>
  </si>
  <si>
    <t>Colonne1</t>
  </si>
  <si>
    <t>Colonne2</t>
  </si>
  <si>
    <t>Colonne3</t>
  </si>
  <si>
    <t>Colonne4</t>
  </si>
  <si>
    <t>Coût d'achat unitaire (PEPS)</t>
  </si>
  <si>
    <t>TGVDUVD</t>
  </si>
  <si>
    <t>gfhfghsf</t>
  </si>
  <si>
    <t>dfhfshg</t>
  </si>
  <si>
    <t>sfhgh</t>
  </si>
  <si>
    <t>gfshsfg</t>
  </si>
  <si>
    <t>gfhh</t>
  </si>
  <si>
    <t>ghhhhhhhhhhhh</t>
  </si>
  <si>
    <t>fdgf</t>
  </si>
  <si>
    <t>desqd</t>
  </si>
  <si>
    <t>azee</t>
  </si>
  <si>
    <t>dfgdf</t>
  </si>
  <si>
    <t>12/11/</t>
  </si>
  <si>
    <t>2EEZZ</t>
  </si>
  <si>
    <t>fdfdd</t>
  </si>
  <si>
    <t>fgfdg</t>
  </si>
  <si>
    <t>fdsgfdg</t>
  </si>
  <si>
    <t>shfgsdf</t>
  </si>
  <si>
    <t>fshs</t>
  </si>
  <si>
    <t>g</t>
  </si>
  <si>
    <t>h</t>
  </si>
  <si>
    <t>Vente Foire</t>
  </si>
  <si>
    <t>dfsfsdfsd</t>
  </si>
  <si>
    <t>dsfsdf</t>
  </si>
  <si>
    <t>dfd</t>
  </si>
  <si>
    <t>30/12/2013</t>
  </si>
  <si>
    <t>45/12/12</t>
  </si>
  <si>
    <t>TOTAUX DU BUDGET</t>
  </si>
  <si>
    <t>ESTIMÉ</t>
  </si>
  <si>
    <t>RÉEL</t>
  </si>
  <si>
    <t>DIFFÉRENCE</t>
  </si>
  <si>
    <t>REVENUS</t>
  </si>
  <si>
    <t>Revenus</t>
  </si>
  <si>
    <t>Chiffre d’affaires net</t>
  </si>
  <si>
    <t>Dépenses</t>
  </si>
  <si>
    <t>Intérêts créditeurs</t>
  </si>
  <si>
    <t>Solde (revenus moins dépenses)</t>
  </si>
  <si>
    <t>Ventes d’actifs (profit/perte)</t>
  </si>
  <si>
    <t>Salaires</t>
  </si>
  <si>
    <t>Personnel total</t>
  </si>
  <si>
    <t>FRAIS D’EXPLOITATION</t>
  </si>
  <si>
    <t>Assurance</t>
  </si>
  <si>
    <t>Fournitures</t>
  </si>
  <si>
    <t>Impôts</t>
  </si>
  <si>
    <t xml:space="preserve"> </t>
  </si>
  <si>
    <t>Loyer</t>
  </si>
  <si>
    <t>Electricité</t>
  </si>
  <si>
    <t>Eau</t>
  </si>
  <si>
    <t>Essence (déplacements)</t>
  </si>
  <si>
    <t>Frais d'envoi</t>
  </si>
  <si>
    <t>Site internet</t>
  </si>
  <si>
    <t>Services (internet, téléphone)</t>
  </si>
  <si>
    <t>PLUS DE TUUUUUNES</t>
  </si>
  <si>
    <t>CHARGES DE PERSONNEL</t>
  </si>
  <si>
    <t>hsdjhqs</t>
  </si>
  <si>
    <t>;dsjlsknds</t>
  </si>
  <si>
    <t>JHHHHHHHHHHHHsezeeeeee</t>
  </si>
  <si>
    <t>kjdsdfdgdfgsdf</t>
  </si>
  <si>
    <t>qfdqgqq</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</si>
</sst>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 _€_-;\-* #,##0.00\ _€_-;_-* &quot;-&quot;??\ _€_-;_-@_-"/>
    <numFmt numFmtId="164" formatCode="#,##0.00\ &quot;€&quot;"/>
    <numFmt numFmtId="169" formatCode="_(* #,##0.00_);_(* \(#,##0.00\);_(* &quot;-&quot;??_);_(@_)"/>
    <numFmt numFmtId="171" formatCode="0.0%"/>
    <numFmt numFmtId="173" formatCode="0.00_ ;[Red]\-0.00\ "/>
  </numFmts>
  <fonts count="15" x14ac:knownFonts="1">
    <font>
      <sz val="11"/>
      <color theme="1"/>
      <name val="Calibri"/>
      <family val="2"/>
      <scheme val="minor"/>
    </font>
    <font>
      <u/>
      <sz val="11"/>
      <color theme="10"/>
      <name val="Calibri"/>
      <family val="2"/>
      <scheme val="minor"/>
    </font>
    <font>
      <b/>
      <sz val="11"/>
      <color theme="4" tint="9.9978637043366805E-2"/>
      <name val="Calibri"/>
      <family val="2"/>
      <scheme val="minor"/>
    </font>
    <font>
      <i/>
      <sz val="18"/>
      <color theme="4" tint="9.9978637043366805E-2"/>
      <name val="Calibri"/>
      <family val="2"/>
      <scheme val="minor"/>
    </font>
    <font>
      <b/>
      <sz val="16"/>
      <color theme="4" tint="9.9978637043366805E-2"/>
      <name val="Calibri"/>
      <family val="2"/>
      <scheme val="minor"/>
    </font>
    <font>
      <b/>
      <sz val="11"/>
      <color theme="1"/>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2"/>
      <color theme="1"/>
      <name val="Calibri"/>
      <family val="2"/>
      <scheme val="minor"/>
    </font>
    <font>
      <b/>
      <sz val="18"/>
      <color theme="0"/>
      <name val="Calibri"/>
      <family val="2"/>
      <scheme val="minor"/>
    </font>
    <font>
      <b/>
      <sz val="16"/>
      <color theme="1"/>
      <name val="Calibri"/>
      <family val="2"/>
      <scheme val="minor"/>
    </font>
    <font>
      <b/>
      <sz val="11"/>
      <color theme="0"/>
      <name val="Calibri"/>
      <family val="2"/>
      <scheme val="minor"/>
    </font>
    <font>
      <sz val="11"/>
      <color theme="1"/>
      <name val="Calibri"/>
      <family val="2"/>
      <scheme val="minor"/>
    </font>
    <font>
      <sz val="12"/>
      <color theme="3"/>
      <name val="Calibri"/>
      <family val="2"/>
      <scheme val="minor"/>
    </font>
  </fonts>
  <fills count="8">
    <fill>
      <patternFill patternType="none"/>
    </fill>
    <fill>
      <patternFill patternType="gray125"/>
    </fill>
    <fill>
      <patternFill patternType="solid">
        <fgColor theme="4" tint="9.9978637043366805E-2"/>
        <bgColor indexed="64"/>
      </patternFill>
    </fill>
    <fill>
      <patternFill patternType="solid">
        <fgColor theme="4" tint="0.249977111117893"/>
        <bgColor indexed="64"/>
      </patternFill>
    </fill>
    <fill>
      <patternFill patternType="solid">
        <fgColor theme="4" tint="0.749992370372631"/>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
    <xf numFmtId="0" fontId="0" fillId="0" borderId="0"/>
    <xf numFmtId="0" fontId="1" fillId="0" borderId="0" applyNumberFormat="0" applyFill="0" applyBorder="0" applyAlignment="0" applyProtection="0"/>
    <xf numFmtId="43" fontId="13" fillId="0" borderId="0" applyFont="0" applyFill="0" applyBorder="0" applyAlignment="0" applyProtection="0"/>
    <xf numFmtId="9" fontId="13" fillId="0" borderId="0" applyFont="0" applyFill="0" applyBorder="0" applyAlignment="0" applyProtection="0"/>
  </cellStyleXfs>
  <cellXfs count="67">
    <xf numFmtId="0" fontId="0" fillId="0" borderId="0" xfId="0"/>
    <xf numFmtId="0" fontId="1" fillId="0" borderId="0" xfId="1" quotePrefix="1"/>
    <xf numFmtId="0" fontId="3" fillId="0" borderId="0" xfId="0" applyFont="1"/>
    <xf numFmtId="0" fontId="0" fillId="0" borderId="0" xfId="0" applyAlignment="1">
      <alignment horizontal="center"/>
    </xf>
    <xf numFmtId="0" fontId="0" fillId="0" borderId="0" xfId="0" applyNumberFormat="1" applyAlignment="1">
      <alignment wrapText="1"/>
    </xf>
    <xf numFmtId="0" fontId="2" fillId="0" borderId="0" xfId="0" applyNumberFormat="1" applyFont="1" applyAlignment="1">
      <alignment horizontal="left" wrapText="1"/>
    </xf>
    <xf numFmtId="0" fontId="3" fillId="0" borderId="0" xfId="0" applyFont="1" applyAlignment="1">
      <alignment wrapText="1"/>
    </xf>
    <xf numFmtId="0" fontId="0" fillId="0" borderId="0" xfId="0" applyAlignment="1">
      <alignment wrapText="1"/>
    </xf>
    <xf numFmtId="0" fontId="6" fillId="0" borderId="0" xfId="0" applyFont="1" applyAlignment="1">
      <alignment horizontal="center" vertical="center"/>
    </xf>
    <xf numFmtId="164" fontId="5" fillId="0" borderId="0" xfId="0" applyNumberFormat="1" applyFont="1" applyAlignment="1">
      <alignment horizontal="center" vertical="center"/>
    </xf>
    <xf numFmtId="164" fontId="9" fillId="0" borderId="0" xfId="0" applyNumberFormat="1" applyFont="1" applyAlignment="1">
      <alignment horizontal="center"/>
    </xf>
    <xf numFmtId="0" fontId="7" fillId="2" borderId="1" xfId="0" applyFont="1" applyFill="1" applyBorder="1"/>
    <xf numFmtId="0" fontId="7" fillId="3" borderId="1" xfId="0" applyFont="1" applyFill="1" applyBorder="1"/>
    <xf numFmtId="164" fontId="6" fillId="4" borderId="1" xfId="0" applyNumberFormat="1" applyFont="1" applyFill="1" applyBorder="1"/>
    <xf numFmtId="164" fontId="6" fillId="0" borderId="1" xfId="0" applyNumberFormat="1" applyFont="1" applyBorder="1"/>
    <xf numFmtId="164" fontId="11" fillId="4" borderId="1" xfId="0" applyNumberFormat="1" applyFont="1" applyFill="1" applyBorder="1"/>
    <xf numFmtId="164" fontId="8" fillId="5" borderId="1" xfId="0" applyNumberFormat="1" applyFont="1" applyFill="1" applyBorder="1"/>
    <xf numFmtId="0" fontId="10" fillId="2" borderId="1" xfId="0" applyFont="1" applyFill="1" applyBorder="1"/>
    <xf numFmtId="0" fontId="6" fillId="0" borderId="1" xfId="0" applyFont="1" applyBorder="1"/>
    <xf numFmtId="164" fontId="4" fillId="0" borderId="1"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right" vertical="center" wrapText="1"/>
    </xf>
    <xf numFmtId="14" fontId="0" fillId="0" borderId="0" xfId="0" applyNumberFormat="1" applyAlignment="1">
      <alignment horizontal="right" vertical="center" wrapText="1"/>
    </xf>
    <xf numFmtId="164" fontId="0" fillId="0" borderId="0" xfId="0" applyNumberFormat="1" applyAlignment="1">
      <alignment horizontal="center" vertical="center" wrapText="1"/>
    </xf>
    <xf numFmtId="164" fontId="0" fillId="0" borderId="0" xfId="0" applyNumberFormat="1" applyAlignment="1">
      <alignment horizontal="right" vertical="center" wrapText="1"/>
    </xf>
    <xf numFmtId="164" fontId="0" fillId="0" borderId="0" xfId="0" applyNumberFormat="1" applyAlignment="1">
      <alignment wrapText="1"/>
    </xf>
    <xf numFmtId="0" fontId="3" fillId="0" borderId="0" xfId="0" applyFont="1" applyAlignment="1">
      <alignment horizontal="left" wrapText="1"/>
    </xf>
    <xf numFmtId="0" fontId="0" fillId="7" borderId="2" xfId="0" applyFont="1" applyFill="1" applyBorder="1" applyAlignment="1">
      <alignment wrapText="1"/>
    </xf>
    <xf numFmtId="0" fontId="12" fillId="6" borderId="2" xfId="0" applyFont="1" applyFill="1" applyBorder="1" applyAlignment="1">
      <alignment horizontal="center" vertical="center" wrapText="1"/>
    </xf>
    <xf numFmtId="0" fontId="12" fillId="6" borderId="3" xfId="0" applyFont="1" applyFill="1" applyBorder="1" applyAlignment="1">
      <alignment horizontal="center" vertical="center" wrapText="1"/>
    </xf>
    <xf numFmtId="0" fontId="0" fillId="7" borderId="3" xfId="0" applyFont="1" applyFill="1" applyBorder="1" applyAlignment="1">
      <alignment wrapText="1"/>
    </xf>
    <xf numFmtId="0" fontId="0" fillId="0" borderId="0" xfId="0" applyAlignment="1">
      <alignment horizontal="center" wrapText="1"/>
    </xf>
    <xf numFmtId="0" fontId="2" fillId="0" borderId="0" xfId="0" applyFont="1" applyAlignment="1">
      <alignment horizontal="center" wrapText="1"/>
    </xf>
    <xf numFmtId="0" fontId="2" fillId="0" borderId="0" xfId="0" applyFont="1" applyAlignment="1">
      <alignment horizontal="right" wrapText="1"/>
    </xf>
    <xf numFmtId="0" fontId="3" fillId="0" borderId="0" xfId="0" applyFont="1" applyAlignment="1">
      <alignment horizontal="center" wrapText="1"/>
    </xf>
    <xf numFmtId="0" fontId="3" fillId="0" borderId="0" xfId="0" applyFont="1" applyAlignment="1">
      <alignment horizontal="left" vertical="center" wrapText="1"/>
    </xf>
    <xf numFmtId="0" fontId="0" fillId="0" borderId="0" xfId="0" applyAlignment="1">
      <alignment horizontal="center"/>
    </xf>
    <xf numFmtId="164" fontId="3" fillId="0" borderId="0" xfId="0" applyNumberFormat="1" applyFont="1" applyAlignment="1">
      <alignment horizontal="center" wrapText="1"/>
    </xf>
    <xf numFmtId="0" fontId="4" fillId="0" borderId="1" xfId="0" applyFont="1" applyBorder="1" applyAlignment="1">
      <alignment horizontal="center"/>
    </xf>
    <xf numFmtId="14" fontId="0" fillId="0" borderId="0" xfId="0" applyNumberFormat="1" applyAlignment="1">
      <alignment wrapText="1"/>
    </xf>
    <xf numFmtId="14" fontId="0" fillId="0" borderId="0" xfId="0" applyNumberFormat="1" applyAlignment="1">
      <alignment horizontal="center" vertical="center" wrapText="1"/>
    </xf>
    <xf numFmtId="0" fontId="3" fillId="0" borderId="0" xfId="0" applyFont="1" applyAlignment="1">
      <alignment horizontal="right" wrapText="1"/>
    </xf>
    <xf numFmtId="0" fontId="0" fillId="0" borderId="0" xfId="0" applyFill="1"/>
    <xf numFmtId="0" fontId="0" fillId="0" borderId="0" xfId="0" applyFont="1" applyFill="1" applyBorder="1" applyAlignment="1">
      <alignment horizontal="left" vertical="center" indent="1"/>
    </xf>
    <xf numFmtId="0" fontId="0" fillId="0" borderId="0" xfId="0" applyFont="1" applyFill="1" applyBorder="1" applyAlignment="1">
      <alignment vertical="center"/>
    </xf>
    <xf numFmtId="0" fontId="0" fillId="0" borderId="0" xfId="0" applyFont="1" applyFill="1" applyBorder="1" applyAlignment="1">
      <alignment horizontal="left" indent="1"/>
    </xf>
    <xf numFmtId="40" fontId="0" fillId="0" borderId="0" xfId="2" applyNumberFormat="1" applyFont="1" applyFill="1" applyBorder="1"/>
    <xf numFmtId="40" fontId="0" fillId="0" borderId="0" xfId="0" applyNumberFormat="1" applyFont="1" applyFill="1" applyBorder="1"/>
    <xf numFmtId="43" fontId="0" fillId="0" borderId="0" xfId="2" applyFont="1" applyFill="1" applyBorder="1"/>
    <xf numFmtId="0" fontId="0" fillId="0" borderId="0" xfId="0" applyFont="1" applyFill="1" applyBorder="1"/>
    <xf numFmtId="169" fontId="0" fillId="0" borderId="0" xfId="2" applyNumberFormat="1" applyFont="1" applyFill="1" applyBorder="1"/>
    <xf numFmtId="171" fontId="0" fillId="0" borderId="0" xfId="3" applyNumberFormat="1" applyFont="1" applyFill="1" applyBorder="1"/>
    <xf numFmtId="169" fontId="0" fillId="0" borderId="0" xfId="0" applyNumberFormat="1" applyFont="1" applyFill="1" applyBorder="1"/>
    <xf numFmtId="171" fontId="0" fillId="0" borderId="0" xfId="0" applyNumberFormat="1" applyFont="1" applyFill="1" applyBorder="1"/>
    <xf numFmtId="0" fontId="0" fillId="0" borderId="0" xfId="0" applyFill="1" applyAlignment="1">
      <alignment vertical="center"/>
    </xf>
    <xf numFmtId="40" fontId="0" fillId="0" borderId="0" xfId="0" applyNumberFormat="1" applyFill="1"/>
    <xf numFmtId="0" fontId="0" fillId="0" borderId="0" xfId="0" applyFill="1" applyAlignment="1"/>
    <xf numFmtId="9" fontId="0" fillId="0" borderId="0" xfId="3" applyFont="1" applyFill="1" applyAlignment="1">
      <alignment horizontal="right"/>
    </xf>
    <xf numFmtId="169" fontId="0" fillId="0" borderId="0" xfId="0" applyNumberFormat="1" applyFill="1" applyAlignment="1">
      <alignment horizontal="center"/>
    </xf>
    <xf numFmtId="0" fontId="14" fillId="0" borderId="0" xfId="0" applyFont="1" applyFill="1" applyAlignment="1">
      <alignment vertical="center"/>
    </xf>
    <xf numFmtId="0" fontId="0" fillId="0" borderId="0" xfId="0" applyFill="1" applyAlignment="1">
      <alignment horizontal="center"/>
    </xf>
    <xf numFmtId="173" fontId="0" fillId="0" borderId="0" xfId="0" applyNumberFormat="1"/>
    <xf numFmtId="173" fontId="0" fillId="0" borderId="0" xfId="0" applyNumberFormat="1" applyFill="1"/>
    <xf numFmtId="173" fontId="0" fillId="0" borderId="0" xfId="0" applyNumberFormat="1" applyFont="1" applyFill="1" applyBorder="1" applyAlignment="1">
      <alignment vertical="center"/>
    </xf>
    <xf numFmtId="173" fontId="0" fillId="0" borderId="0" xfId="2" applyNumberFormat="1" applyFont="1" applyFill="1" applyBorder="1"/>
    <xf numFmtId="173" fontId="0" fillId="0" borderId="0" xfId="0" applyNumberFormat="1" applyFont="1" applyFill="1" applyBorder="1"/>
    <xf numFmtId="173" fontId="0" fillId="0" borderId="0" xfId="0" applyNumberFormat="1" applyFill="1" applyAlignment="1">
      <alignment horizontal="center"/>
    </xf>
  </cellXfs>
  <cellStyles count="4">
    <cellStyle name="Lien hypertexte" xfId="1" builtinId="8"/>
    <cellStyle name="Milliers" xfId="2" builtinId="3"/>
    <cellStyle name="Normal" xfId="0" builtinId="0"/>
    <cellStyle name="Pourcentage" xfId="3" builtinId="5"/>
  </cellStyles>
  <dxfs count="254">
    <dxf>
      <numFmt numFmtId="173" formatCode="0.00_ ;[Red]\-0.00\ "/>
      <fill>
        <patternFill patternType="none">
          <fgColor indexed="64"/>
          <bgColor indexed="65"/>
        </patternFill>
      </fill>
    </dxf>
    <dxf>
      <numFmt numFmtId="8" formatCode="#,##0.00\ _€;[Red]\-#,##0.00\ _€"/>
      <fill>
        <patternFill patternType="none">
          <fgColor indexed="64"/>
          <bgColor indexed="65"/>
        </patternFill>
      </fill>
    </dxf>
    <dxf>
      <numFmt numFmtId="8" formatCode="#,##0.00\ _€;[Red]\-#,##0.00\ _€"/>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173" formatCode="0.00_ ;[Red]\-0.00\ "/>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73" formatCode="0.00_ ;[Red]\-0.00\ "/>
      <fill>
        <patternFill patternType="none">
          <fgColor indexed="64"/>
          <bgColor indexed="65"/>
        </patternFill>
      </fill>
    </dxf>
    <dxf>
      <numFmt numFmtId="173" formatCode="0.00_ ;[Red]\-0.00\ "/>
      <fill>
        <patternFill patternType="none">
          <fgColor indexed="64"/>
          <bgColor auto="1"/>
        </patternFill>
      </fill>
    </dxf>
    <dxf>
      <numFmt numFmtId="173" formatCode="0.00_ ;[Red]\-0.00\ "/>
      <fill>
        <patternFill patternType="none">
          <fgColor indexed="64"/>
          <bgColor auto="1"/>
        </patternFill>
      </fill>
    </dxf>
    <dxf>
      <numFmt numFmtId="173" formatCode="0.00_ ;[Red]\-0.00\ "/>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i val="0"/>
        <color rgb="FFFF9900"/>
      </font>
    </dxf>
    <dxf>
      <font>
        <b/>
        <i val="0"/>
        <color rgb="FF00CC00"/>
      </font>
    </dxf>
    <dxf>
      <font>
        <b/>
        <i val="0"/>
        <color rgb="FFFF0000"/>
      </font>
    </dxf>
    <dxf>
      <fill>
        <patternFill patternType="none">
          <fgColor indexed="64"/>
          <bgColor auto="1"/>
        </patternFill>
      </fill>
      <alignment horizontal="general" vertical="bottom" textRotation="0" wrapText="1" indent="0" justifyLastLine="0" shrinkToFit="0" readingOrder="0"/>
    </dxf>
    <dxf>
      <numFmt numFmtId="0" formatCode="General"/>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8" formatCode="#,##0.00\ _€;[Red]\-#,##0.00\ 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70" formatCode="\(#,##0.00\);[Red]\(#,##0.00\)"/>
      <fill>
        <patternFill patternType="none">
          <fgColor indexed="64"/>
          <bgColor auto="1"/>
        </patternFill>
      </fill>
    </dxf>
    <dxf>
      <numFmt numFmtId="8" formatCode="#,##0.00\ _€;[Red]\-#,##0.00\ _€"/>
      <fill>
        <patternFill patternType="none">
          <fgColor indexed="64"/>
          <bgColor auto="1"/>
        </patternFill>
      </fill>
    </dxf>
    <dxf>
      <numFmt numFmtId="8" formatCode="#,##0.00\ _€;[Red]\-#,##0.00\ _€"/>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1" justifyLastLine="0" shrinkToFit="0" readingOrder="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numFmt numFmtId="19" formatCode="dd/mm/yyyy"/>
      <alignment horizontal="right" vertical="center" textRotation="0" wrapText="1" indent="0" justifyLastLine="0" shrinkToFit="0" readingOrder="0"/>
    </dxf>
    <dxf>
      <font>
        <b/>
        <strike val="0"/>
        <outline val="0"/>
        <shadow val="0"/>
        <u val="none"/>
        <vertAlign val="baseline"/>
        <sz val="12"/>
        <color theme="1"/>
        <name val="Calibri"/>
        <scheme val="minor"/>
      </font>
      <numFmt numFmtId="164" formatCode="#,##0.00\ &quot;€&quot;"/>
      <alignment horizontal="center" vertical="bottom" textRotation="0" wrapText="0" indent="0" justifyLastLine="0" shrinkToFit="0" readingOrder="0"/>
    </dxf>
    <dxf>
      <font>
        <b/>
        <strike val="0"/>
        <outline val="0"/>
        <shadow val="0"/>
        <u val="none"/>
        <vertAlign val="baseline"/>
        <sz val="11"/>
        <color theme="1"/>
        <name val="Calibri"/>
        <scheme val="minor"/>
      </font>
      <numFmt numFmtId="164" formatCode="#,##0.00\ &quot;€&quot;"/>
      <alignment horizontal="center"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alignment vertical="bottom" textRotation="0" wrapText="1"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outline="0">
        <left style="thin">
          <color theme="4" tint="0.39997558519241921"/>
        </left>
        <right style="thin">
          <color theme="4" tint="0.3999755851924192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right" vertical="center" textRotation="0" wrapText="1" indent="0" justifyLastLine="0" shrinkToFit="0" readingOrder="0"/>
    </dxf>
    <dxf>
      <numFmt numFmtId="164" formatCode="#,##0.00\ &quot;€&quot;"/>
      <alignment horizontal="right" vertical="center" textRotation="0" wrapText="1" indent="0" justifyLastLine="0" shrinkToFit="0" readingOrder="0"/>
    </dxf>
    <dxf>
      <numFmt numFmtId="164"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numFmt numFmtId="164" formatCode="#,##0.00\ &quot;€&quot;"/>
      <alignment horizontal="right" vertical="center" textRotation="0" wrapText="1" indent="0" justifyLastLine="0" shrinkToFit="0" readingOrder="0"/>
    </dxf>
    <dxf>
      <numFmt numFmtId="164"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4"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s>
  <tableStyles count="1" defaultTableStyle="TableStyleMedium2" defaultPivotStyle="PivotStyleLight16">
    <tableStyle name="Monthly Budget" pivot="0" count="5">
      <tableStyleElement type="wholeTable" dxfId="48"/>
      <tableStyleElement type="headerRow" dxfId="47"/>
      <tableStyleElement type="totalRow" dxfId="46"/>
      <tableStyleElement type="lastColumn" dxfId="45"/>
      <tableStyleElement type="firstRowStripe" dxfId="44"/>
    </tableStyle>
  </tableStyles>
  <colors>
    <mruColors>
      <color rgb="FF00CC00"/>
      <color rgb="FFFF9900"/>
      <color rgb="FFA957A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0">
                <a:solidFill>
                  <a:schemeClr val="tx2"/>
                </a:solidFill>
              </a:defRPr>
            </a:pPr>
            <a:r>
              <a:rPr lang="fr-FR" sz="1500" b="0">
                <a:solidFill>
                  <a:schemeClr val="tx2"/>
                </a:solidFill>
              </a:rPr>
              <a:t>VUE D’ENSEMBLE DU BUDGET</a:t>
            </a:r>
          </a:p>
        </c:rich>
      </c:tx>
      <c:layout>
        <c:manualLayout>
          <c:xMode val="edge"/>
          <c:yMode val="edge"/>
          <c:x val="0.11267172051275741"/>
          <c:y val="0.10473324876700055"/>
        </c:manualLayout>
      </c:layout>
      <c:overlay val="0"/>
    </c:title>
    <c:autoTitleDeleted val="0"/>
    <c:plotArea>
      <c:layout/>
      <c:barChart>
        <c:barDir val="col"/>
        <c:grouping val="clustered"/>
        <c:varyColors val="0"/>
        <c:ser>
          <c:idx val="0"/>
          <c:order val="0"/>
          <c:tx>
            <c:strRef>
              <c:f>'Budget Mensuel'!$B$17</c:f>
              <c:strCache>
                <c:ptCount val="1"/>
                <c:pt idx="0">
                  <c:v>Revenus</c:v>
                </c:pt>
              </c:strCache>
            </c:strRef>
          </c:tx>
          <c:spPr>
            <a:solidFill>
              <a:schemeClr val="accent4">
                <a:lumMod val="60000"/>
                <a:lumOff val="40000"/>
              </a:schemeClr>
            </a:solidFill>
            <a:ln>
              <a:solidFill>
                <a:schemeClr val="accent4"/>
              </a:solidFill>
            </a:ln>
            <a:effectLst>
              <a:outerShdw blurRad="50800" dist="12700" dir="2700000" algn="tl" rotWithShape="0">
                <a:prstClr val="black">
                  <a:alpha val="40000"/>
                </a:prstClr>
              </a:outerShdw>
            </a:effectLst>
          </c:spPr>
          <c:invertIfNegative val="0"/>
          <c:cat>
            <c:strRef>
              <c:f>'Budget Mensuel'!$C$16:$D$16</c:f>
              <c:strCache>
                <c:ptCount val="2"/>
                <c:pt idx="0">
                  <c:v>ESTIMÉ</c:v>
                </c:pt>
                <c:pt idx="1">
                  <c:v>RÉEL</c:v>
                </c:pt>
              </c:strCache>
            </c:strRef>
          </c:cat>
          <c:val>
            <c:numRef>
              <c:f>'Budget Mensuel'!$C$17:$D$17</c:f>
              <c:numCache>
                <c:formatCode>General</c:formatCode>
                <c:ptCount val="2"/>
                <c:pt idx="0">
                  <c:v>73500</c:v>
                </c:pt>
                <c:pt idx="1">
                  <c:v>70673</c:v>
                </c:pt>
              </c:numCache>
            </c:numRef>
          </c:val>
        </c:ser>
        <c:ser>
          <c:idx val="1"/>
          <c:order val="1"/>
          <c:tx>
            <c:strRef>
              <c:f>'[1]Budget Mensuel'!$B$7</c:f>
              <c:strCache>
                <c:ptCount val="1"/>
                <c:pt idx="0">
                  <c:v>Dépenses</c:v>
                </c:pt>
              </c:strCache>
            </c:strRef>
          </c:tx>
          <c:spPr>
            <a:solidFill>
              <a:schemeClr val="accent5">
                <a:lumMod val="60000"/>
                <a:lumOff val="40000"/>
              </a:schemeClr>
            </a:solidFill>
            <a:ln>
              <a:solidFill>
                <a:schemeClr val="accent5">
                  <a:lumMod val="90000"/>
                </a:schemeClr>
              </a:solidFill>
            </a:ln>
            <a:effectLst>
              <a:outerShdw blurRad="50800" dist="12700" dir="2700000" algn="tl" rotWithShape="0">
                <a:prstClr val="black">
                  <a:alpha val="40000"/>
                </a:prstClr>
              </a:outerShdw>
            </a:effectLst>
          </c:spPr>
          <c:invertIfNegative val="0"/>
          <c:cat>
            <c:strRef>
              <c:f>'Budget Mensuel'!$C$16:$D$16</c:f>
              <c:strCache>
                <c:ptCount val="2"/>
                <c:pt idx="0">
                  <c:v>ESTIMÉ</c:v>
                </c:pt>
                <c:pt idx="1">
                  <c:v>RÉEL</c:v>
                </c:pt>
              </c:strCache>
            </c:strRef>
          </c:cat>
          <c:val>
            <c:numRef>
              <c:f>'[1]Budget Mensuel'!$C$7:$D$7</c:f>
              <c:numCache>
                <c:formatCode>General</c:formatCode>
                <c:ptCount val="2"/>
                <c:pt idx="0">
                  <c:v>54500</c:v>
                </c:pt>
                <c:pt idx="1">
                  <c:v>49630</c:v>
                </c:pt>
              </c:numCache>
            </c:numRef>
          </c:val>
        </c:ser>
        <c:dLbls>
          <c:showLegendKey val="0"/>
          <c:showVal val="0"/>
          <c:showCatName val="0"/>
          <c:showSerName val="0"/>
          <c:showPercent val="0"/>
          <c:showBubbleSize val="0"/>
        </c:dLbls>
        <c:gapWidth val="150"/>
        <c:overlap val="-3"/>
        <c:axId val="122504320"/>
        <c:axId val="122505856"/>
      </c:barChart>
      <c:catAx>
        <c:axId val="122504320"/>
        <c:scaling>
          <c:orientation val="minMax"/>
        </c:scaling>
        <c:delete val="0"/>
        <c:axPos val="b"/>
        <c:numFmt formatCode="General" sourceLinked="0"/>
        <c:majorTickMark val="out"/>
        <c:minorTickMark val="none"/>
        <c:tickLblPos val="nextTo"/>
        <c:txPr>
          <a:bodyPr/>
          <a:lstStyle/>
          <a:p>
            <a:pPr>
              <a:defRPr>
                <a:solidFill>
                  <a:schemeClr val="tx2"/>
                </a:solidFill>
              </a:defRPr>
            </a:pPr>
            <a:endParaRPr lang="fr-FR"/>
          </a:p>
        </c:txPr>
        <c:crossAx val="122505856"/>
        <c:crosses val="autoZero"/>
        <c:auto val="1"/>
        <c:lblAlgn val="ctr"/>
        <c:lblOffset val="100"/>
        <c:noMultiLvlLbl val="0"/>
      </c:catAx>
      <c:valAx>
        <c:axId val="122505856"/>
        <c:scaling>
          <c:orientation val="minMax"/>
        </c:scaling>
        <c:delete val="0"/>
        <c:axPos val="l"/>
        <c:majorGridlines/>
        <c:numFmt formatCode="General" sourceLinked="1"/>
        <c:majorTickMark val="out"/>
        <c:minorTickMark val="none"/>
        <c:tickLblPos val="nextTo"/>
        <c:txPr>
          <a:bodyPr/>
          <a:lstStyle/>
          <a:p>
            <a:pPr>
              <a:defRPr>
                <a:solidFill>
                  <a:schemeClr val="tx2"/>
                </a:solidFill>
              </a:defRPr>
            </a:pPr>
            <a:endParaRPr lang="fr-FR"/>
          </a:p>
        </c:txPr>
        <c:crossAx val="122504320"/>
        <c:crosses val="autoZero"/>
        <c:crossBetween val="between"/>
      </c:valAx>
    </c:plotArea>
    <c:legend>
      <c:legendPos val="t"/>
      <c:layout>
        <c:manualLayout>
          <c:xMode val="edge"/>
          <c:yMode val="edge"/>
          <c:x val="0.70958555034916704"/>
          <c:y val="4.7514522488001684E-2"/>
          <c:w val="0.22751044983421939"/>
          <c:h val="0.14741878341099834"/>
        </c:manualLayout>
      </c:layout>
      <c:overlay val="0"/>
      <c:txPr>
        <a:bodyPr/>
        <a:lstStyle/>
        <a:p>
          <a:pPr>
            <a:defRPr sz="1100">
              <a:solidFill>
                <a:schemeClr val="tx2"/>
              </a:solidFill>
            </a:defRPr>
          </a:pPr>
          <a:endParaRPr lang="fr-FR"/>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Gestion des stocks'!A1"/><Relationship Id="rId7" Type="http://schemas.openxmlformats.org/officeDocument/2006/relationships/hyperlink" Target="#'Fiche de caisse'!A1"/><Relationship Id="rId2" Type="http://schemas.openxmlformats.org/officeDocument/2006/relationships/hyperlink" Target="#Bilan!A1"/><Relationship Id="rId1" Type="http://schemas.openxmlformats.org/officeDocument/2006/relationships/hyperlink" Target="#'Compte de r&#233;sultat'!A1"/><Relationship Id="rId6" Type="http://schemas.openxmlformats.org/officeDocument/2006/relationships/hyperlink" Target="#'Tableau de bord'!A1"/><Relationship Id="rId5" Type="http://schemas.openxmlformats.org/officeDocument/2006/relationships/hyperlink" Target="#'Gestion des fournisseurs'!A1"/><Relationship Id="rId4" Type="http://schemas.openxmlformats.org/officeDocument/2006/relationships/hyperlink" Target="#'Gestion des produits'!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Journal des achats'!A1"/><Relationship Id="rId2" Type="http://schemas.openxmlformats.org/officeDocument/2006/relationships/hyperlink" Target="#Menu!A1"/><Relationship Id="rId1" Type="http://schemas.openxmlformats.org/officeDocument/2006/relationships/image" Target="../media/image2.png"/><Relationship Id="rId5" Type="http://schemas.openxmlformats.org/officeDocument/2006/relationships/hyperlink" Target="#'Vue des stocks'!A1"/><Relationship Id="rId4" Type="http://schemas.openxmlformats.org/officeDocument/2006/relationships/hyperlink" Target="#'Journal des ventes'!A1"/></Relationships>
</file>

<file path=xl/drawings/_rels/drawing5.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2.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2.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2.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742949</xdr:colOff>
      <xdr:row>12</xdr:row>
      <xdr:rowOff>133350</xdr:rowOff>
    </xdr:from>
    <xdr:to>
      <xdr:col>6</xdr:col>
      <xdr:colOff>466724</xdr:colOff>
      <xdr:row>15</xdr:row>
      <xdr:rowOff>104775</xdr:rowOff>
    </xdr:to>
    <xdr:sp macro="[0]!Rectangle1_Cliquer" textlink="">
      <xdr:nvSpPr>
        <xdr:cNvPr id="2" name="Rectangle 1">
          <a:hlinkClick xmlns:r="http://schemas.openxmlformats.org/officeDocument/2006/relationships" r:id="rId1"/>
        </xdr:cNvPr>
        <xdr:cNvSpPr/>
      </xdr:nvSpPr>
      <xdr:spPr>
        <a:xfrm>
          <a:off x="2266949" y="24193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Compte de résultat</a:t>
          </a:r>
        </a:p>
      </xdr:txBody>
    </xdr:sp>
    <xdr:clientData/>
  </xdr:twoCellAnchor>
  <xdr:twoCellAnchor editAs="oneCell">
    <xdr:from>
      <xdr:col>8</xdr:col>
      <xdr:colOff>0</xdr:colOff>
      <xdr:row>18</xdr:row>
      <xdr:rowOff>0</xdr:rowOff>
    </xdr:from>
    <xdr:to>
      <xdr:col>8</xdr:col>
      <xdr:colOff>304800</xdr:colOff>
      <xdr:row>19</xdr:row>
      <xdr:rowOff>114300</xdr:rowOff>
    </xdr:to>
    <xdr:sp macro="" textlink="">
      <xdr:nvSpPr>
        <xdr:cNvPr id="1025" name="AutoShape 1" descr="https://groupe4miage.googlegroups.com/attach/aa5975d7e918c580/banni%C3%A8re.png?view=1&amp;part=4&amp;hl=fr"/>
        <xdr:cNvSpPr>
          <a:spLocks noChangeAspect="1" noChangeArrowheads="1"/>
        </xdr:cNvSpPr>
      </xdr:nvSpPr>
      <xdr:spPr bwMode="auto">
        <a:xfrm>
          <a:off x="53340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3</xdr:col>
      <xdr:colOff>742949</xdr:colOff>
      <xdr:row>17</xdr:row>
      <xdr:rowOff>47625</xdr:rowOff>
    </xdr:from>
    <xdr:to>
      <xdr:col>6</xdr:col>
      <xdr:colOff>466724</xdr:colOff>
      <xdr:row>20</xdr:row>
      <xdr:rowOff>19050</xdr:rowOff>
    </xdr:to>
    <xdr:sp macro="[0]!Rectangle1_Cliquer" textlink="">
      <xdr:nvSpPr>
        <xdr:cNvPr id="4" name="Rectangle 3">
          <a:hlinkClick xmlns:r="http://schemas.openxmlformats.org/officeDocument/2006/relationships" r:id="rId2"/>
        </xdr:cNvPr>
        <xdr:cNvSpPr/>
      </xdr:nvSpPr>
      <xdr:spPr>
        <a:xfrm>
          <a:off x="2266949" y="32861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Bilan</a:t>
          </a:r>
        </a:p>
      </xdr:txBody>
    </xdr:sp>
    <xdr:clientData/>
  </xdr:twoCellAnchor>
  <xdr:twoCellAnchor>
    <xdr:from>
      <xdr:col>8</xdr:col>
      <xdr:colOff>142874</xdr:colOff>
      <xdr:row>17</xdr:row>
      <xdr:rowOff>47625</xdr:rowOff>
    </xdr:from>
    <xdr:to>
      <xdr:col>10</xdr:col>
      <xdr:colOff>628649</xdr:colOff>
      <xdr:row>20</xdr:row>
      <xdr:rowOff>19050</xdr:rowOff>
    </xdr:to>
    <xdr:sp macro="[0]!Rectangle1_Cliquer" textlink="">
      <xdr:nvSpPr>
        <xdr:cNvPr id="5" name="Rectangle 4">
          <a:hlinkClick xmlns:r="http://schemas.openxmlformats.org/officeDocument/2006/relationships" r:id="rId3"/>
        </xdr:cNvPr>
        <xdr:cNvSpPr/>
      </xdr:nvSpPr>
      <xdr:spPr>
        <a:xfrm>
          <a:off x="5476874" y="32861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stocks</a:t>
          </a:r>
        </a:p>
      </xdr:txBody>
    </xdr:sp>
    <xdr:clientData/>
  </xdr:twoCellAnchor>
  <xdr:twoCellAnchor>
    <xdr:from>
      <xdr:col>8</xdr:col>
      <xdr:colOff>171449</xdr:colOff>
      <xdr:row>8</xdr:row>
      <xdr:rowOff>19050</xdr:rowOff>
    </xdr:from>
    <xdr:to>
      <xdr:col>10</xdr:col>
      <xdr:colOff>657224</xdr:colOff>
      <xdr:row>10</xdr:row>
      <xdr:rowOff>180975</xdr:rowOff>
    </xdr:to>
    <xdr:sp macro="[0]!Rectangle1_Cliquer" textlink="">
      <xdr:nvSpPr>
        <xdr:cNvPr id="6" name="Rectangle 5">
          <a:hlinkClick xmlns:r="http://schemas.openxmlformats.org/officeDocument/2006/relationships" r:id="rId4"/>
        </xdr:cNvPr>
        <xdr:cNvSpPr/>
      </xdr:nvSpPr>
      <xdr:spPr>
        <a:xfrm>
          <a:off x="6267449" y="16478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produits</a:t>
          </a:r>
        </a:p>
      </xdr:txBody>
    </xdr:sp>
    <xdr:clientData/>
  </xdr:twoCellAnchor>
  <xdr:twoCellAnchor>
    <xdr:from>
      <xdr:col>8</xdr:col>
      <xdr:colOff>142874</xdr:colOff>
      <xdr:row>12</xdr:row>
      <xdr:rowOff>104775</xdr:rowOff>
    </xdr:from>
    <xdr:to>
      <xdr:col>10</xdr:col>
      <xdr:colOff>628649</xdr:colOff>
      <xdr:row>15</xdr:row>
      <xdr:rowOff>76200</xdr:rowOff>
    </xdr:to>
    <xdr:sp macro="[0]!Rectangle1_Cliquer" textlink="">
      <xdr:nvSpPr>
        <xdr:cNvPr id="7" name="Rectangle 6">
          <a:hlinkClick xmlns:r="http://schemas.openxmlformats.org/officeDocument/2006/relationships" r:id="rId5"/>
        </xdr:cNvPr>
        <xdr:cNvSpPr/>
      </xdr:nvSpPr>
      <xdr:spPr>
        <a:xfrm>
          <a:off x="6238874" y="24955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fournisseurs</a:t>
          </a:r>
        </a:p>
      </xdr:txBody>
    </xdr:sp>
    <xdr:clientData/>
  </xdr:twoCellAnchor>
  <xdr:twoCellAnchor>
    <xdr:from>
      <xdr:col>3</xdr:col>
      <xdr:colOff>742949</xdr:colOff>
      <xdr:row>8</xdr:row>
      <xdr:rowOff>28575</xdr:rowOff>
    </xdr:from>
    <xdr:to>
      <xdr:col>6</xdr:col>
      <xdr:colOff>466724</xdr:colOff>
      <xdr:row>11</xdr:row>
      <xdr:rowOff>0</xdr:rowOff>
    </xdr:to>
    <xdr:sp macro="[0]!Rectangle1_Cliquer" textlink="">
      <xdr:nvSpPr>
        <xdr:cNvPr id="8" name="Rectangle 7">
          <a:hlinkClick xmlns:r="http://schemas.openxmlformats.org/officeDocument/2006/relationships" r:id="rId6"/>
        </xdr:cNvPr>
        <xdr:cNvSpPr/>
      </xdr:nvSpPr>
      <xdr:spPr>
        <a:xfrm>
          <a:off x="2266949" y="15525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Tableau</a:t>
          </a:r>
          <a:r>
            <a:rPr lang="fr-FR" sz="1100" baseline="0"/>
            <a:t> de bord</a:t>
          </a:r>
          <a:endParaRPr lang="fr-FR" sz="1100"/>
        </a:p>
      </xdr:txBody>
    </xdr:sp>
    <xdr:clientData/>
  </xdr:twoCellAnchor>
  <xdr:twoCellAnchor>
    <xdr:from>
      <xdr:col>6</xdr:col>
      <xdr:colOff>85725</xdr:colOff>
      <xdr:row>21</xdr:row>
      <xdr:rowOff>133350</xdr:rowOff>
    </xdr:from>
    <xdr:to>
      <xdr:col>8</xdr:col>
      <xdr:colOff>571500</xdr:colOff>
      <xdr:row>24</xdr:row>
      <xdr:rowOff>104775</xdr:rowOff>
    </xdr:to>
    <xdr:sp macro="[0]!Rectangle1_Cliquer" textlink="">
      <xdr:nvSpPr>
        <xdr:cNvPr id="9" name="Rectangle 8">
          <a:hlinkClick xmlns:r="http://schemas.openxmlformats.org/officeDocument/2006/relationships" r:id="rId7"/>
        </xdr:cNvPr>
        <xdr:cNvSpPr/>
      </xdr:nvSpPr>
      <xdr:spPr>
        <a:xfrm>
          <a:off x="4657725" y="42386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Fiche de caisse</a:t>
          </a:r>
        </a:p>
      </xdr:txBody>
    </xdr:sp>
    <xdr:clientData/>
  </xdr:twoCellAnchor>
  <xdr:twoCellAnchor>
    <xdr:from>
      <xdr:col>13</xdr:col>
      <xdr:colOff>657225</xdr:colOff>
      <xdr:row>5</xdr:row>
      <xdr:rowOff>190499</xdr:rowOff>
    </xdr:from>
    <xdr:to>
      <xdr:col>15</xdr:col>
      <xdr:colOff>266700</xdr:colOff>
      <xdr:row>8</xdr:row>
      <xdr:rowOff>142874</xdr:rowOff>
    </xdr:to>
    <xdr:sp macro="[0]!Enregistrer_et_quitter" textlink="">
      <xdr:nvSpPr>
        <xdr:cNvPr id="3" name="Rectangle à coins arrondis 2"/>
        <xdr:cNvSpPr/>
      </xdr:nvSpPr>
      <xdr:spPr>
        <a:xfrm>
          <a:off x="10563225" y="124777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13</xdr:col>
      <xdr:colOff>647700</xdr:colOff>
      <xdr:row>2</xdr:row>
      <xdr:rowOff>171450</xdr:rowOff>
    </xdr:from>
    <xdr:to>
      <xdr:col>15</xdr:col>
      <xdr:colOff>257175</xdr:colOff>
      <xdr:row>5</xdr:row>
      <xdr:rowOff>19050</xdr:rowOff>
    </xdr:to>
    <xdr:sp macro="[0]!Enregistrer" textlink="">
      <xdr:nvSpPr>
        <xdr:cNvPr id="12" name="Rectangle à coins arrondis 11"/>
        <xdr:cNvSpPr/>
      </xdr:nvSpPr>
      <xdr:spPr>
        <a:xfrm>
          <a:off x="10553700" y="552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3</xdr:col>
      <xdr:colOff>1783378</xdr:colOff>
      <xdr:row>6</xdr:row>
      <xdr:rowOff>19516</xdr:rowOff>
    </xdr:to>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5450503" cy="1152991"/>
        </a:xfrm>
        <a:prstGeom prst="rect">
          <a:avLst/>
        </a:prstGeom>
      </xdr:spPr>
    </xdr:pic>
    <xdr:clientData fPrintsWithSheet="0"/>
  </xdr:twoCellAnchor>
  <xdr:twoCellAnchor>
    <xdr:from>
      <xdr:col>1</xdr:col>
      <xdr:colOff>666750</xdr:colOff>
      <xdr:row>8</xdr:row>
      <xdr:rowOff>123826</xdr:rowOff>
    </xdr:from>
    <xdr:to>
      <xdr:col>2</xdr:col>
      <xdr:colOff>1285875</xdr:colOff>
      <xdr:row>10</xdr:row>
      <xdr:rowOff>209551</xdr:rowOff>
    </xdr:to>
    <xdr:sp macro="[0]!AjouterProduit" textlink="">
      <xdr:nvSpPr>
        <xdr:cNvPr id="4" name="Rectangle à coins arrondis 3"/>
        <xdr:cNvSpPr/>
      </xdr:nvSpPr>
      <xdr:spPr>
        <a:xfrm>
          <a:off x="1428750" y="1857376"/>
          <a:ext cx="20193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produit</a:t>
          </a:r>
        </a:p>
      </xdr:txBody>
    </xdr:sp>
    <xdr:clientData/>
  </xdr:twoCellAnchor>
  <xdr:twoCellAnchor>
    <xdr:from>
      <xdr:col>3</xdr:col>
      <xdr:colOff>609599</xdr:colOff>
      <xdr:row>8</xdr:row>
      <xdr:rowOff>123826</xdr:rowOff>
    </xdr:from>
    <xdr:to>
      <xdr:col>4</xdr:col>
      <xdr:colOff>419099</xdr:colOff>
      <xdr:row>10</xdr:row>
      <xdr:rowOff>209551</xdr:rowOff>
    </xdr:to>
    <xdr:sp macro="[0]!ModifierProduit" textlink="">
      <xdr:nvSpPr>
        <xdr:cNvPr id="5" name="Rectangle à coins arrondis 4"/>
        <xdr:cNvSpPr/>
      </xdr:nvSpPr>
      <xdr:spPr>
        <a:xfrm>
          <a:off x="4276724" y="1857376"/>
          <a:ext cx="2105025"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produit</a:t>
          </a:r>
        </a:p>
      </xdr:txBody>
    </xdr:sp>
    <xdr:clientData/>
  </xdr:twoCellAnchor>
  <xdr:twoCellAnchor>
    <xdr:from>
      <xdr:col>7</xdr:col>
      <xdr:colOff>323849</xdr:colOff>
      <xdr:row>2</xdr:row>
      <xdr:rowOff>38100</xdr:rowOff>
    </xdr:from>
    <xdr:to>
      <xdr:col>8</xdr:col>
      <xdr:colOff>685799</xdr:colOff>
      <xdr:row>4</xdr:row>
      <xdr:rowOff>180975</xdr:rowOff>
    </xdr:to>
    <xdr:sp macro="" textlink="">
      <xdr:nvSpPr>
        <xdr:cNvPr id="6" name="Rectangle à coins arrondis 5">
          <a:hlinkClick xmlns:r="http://schemas.openxmlformats.org/officeDocument/2006/relationships" r:id="rId2"/>
        </xdr:cNvPr>
        <xdr:cNvSpPr/>
      </xdr:nvSpPr>
      <xdr:spPr>
        <a:xfrm>
          <a:off x="9058274" y="419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323849</xdr:colOff>
      <xdr:row>5</xdr:row>
      <xdr:rowOff>142876</xdr:rowOff>
    </xdr:from>
    <xdr:to>
      <xdr:col>8</xdr:col>
      <xdr:colOff>685799</xdr:colOff>
      <xdr:row>7</xdr:row>
      <xdr:rowOff>114300</xdr:rowOff>
    </xdr:to>
    <xdr:sp macro="[0]!Enregistrer" textlink="">
      <xdr:nvSpPr>
        <xdr:cNvPr id="7" name="Rectangle à coins arrondis 6"/>
        <xdr:cNvSpPr/>
      </xdr:nvSpPr>
      <xdr:spPr>
        <a:xfrm>
          <a:off x="9058274" y="1095376"/>
          <a:ext cx="1133475" cy="457199"/>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323849</xdr:colOff>
      <xdr:row>7</xdr:row>
      <xdr:rowOff>266700</xdr:rowOff>
    </xdr:from>
    <xdr:to>
      <xdr:col>8</xdr:col>
      <xdr:colOff>685799</xdr:colOff>
      <xdr:row>9</xdr:row>
      <xdr:rowOff>200025</xdr:rowOff>
    </xdr:to>
    <xdr:sp macro="[0]!Enregistrer_et_quitter" textlink="">
      <xdr:nvSpPr>
        <xdr:cNvPr id="8" name="Rectangle à coins arrondis 7"/>
        <xdr:cNvSpPr/>
      </xdr:nvSpPr>
      <xdr:spPr>
        <a:xfrm>
          <a:off x="9058274" y="17049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457201</xdr:colOff>
      <xdr:row>10</xdr:row>
      <xdr:rowOff>9525</xdr:rowOff>
    </xdr:from>
    <xdr:to>
      <xdr:col>3</xdr:col>
      <xdr:colOff>1545715</xdr:colOff>
      <xdr:row>13</xdr:row>
      <xdr:rowOff>114300</xdr:rowOff>
    </xdr:to>
    <xdr:sp macro="[0]!AjouterFournisseur" textlink="">
      <xdr:nvSpPr>
        <xdr:cNvPr id="2" name="Rectangle à coins arrondis 1"/>
        <xdr:cNvSpPr/>
      </xdr:nvSpPr>
      <xdr:spPr>
        <a:xfrm>
          <a:off x="1981201" y="2019300"/>
          <a:ext cx="193623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fournisseur</a:t>
          </a:r>
        </a:p>
      </xdr:txBody>
    </xdr:sp>
    <xdr:clientData/>
  </xdr:twoCellAnchor>
  <xdr:twoCellAnchor>
    <xdr:from>
      <xdr:col>4</xdr:col>
      <xdr:colOff>209551</xdr:colOff>
      <xdr:row>10</xdr:row>
      <xdr:rowOff>9525</xdr:rowOff>
    </xdr:from>
    <xdr:to>
      <xdr:col>4</xdr:col>
      <xdr:colOff>2200275</xdr:colOff>
      <xdr:row>13</xdr:row>
      <xdr:rowOff>114300</xdr:rowOff>
    </xdr:to>
    <xdr:sp macro="[0]!ModifierFournisseur" textlink="">
      <xdr:nvSpPr>
        <xdr:cNvPr id="4" name="Rectangle à coins arrondis 3"/>
        <xdr:cNvSpPr/>
      </xdr:nvSpPr>
      <xdr:spPr>
        <a:xfrm>
          <a:off x="4305301" y="2019300"/>
          <a:ext cx="1990724"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fournisseur</a:t>
          </a:r>
        </a:p>
      </xdr:txBody>
    </xdr:sp>
    <xdr:clientData/>
  </xdr:twoCellAnchor>
  <xdr:twoCellAnchor editAs="oneCell">
    <xdr:from>
      <xdr:col>0</xdr:col>
      <xdr:colOff>0</xdr:colOff>
      <xdr:row>0</xdr:row>
      <xdr:rowOff>0</xdr:rowOff>
    </xdr:from>
    <xdr:to>
      <xdr:col>4</xdr:col>
      <xdr:colOff>1354753</xdr:colOff>
      <xdr:row>6</xdr:row>
      <xdr:rowOff>9991</xdr:rowOff>
    </xdr:to>
    <xdr:pic>
      <xdr:nvPicPr>
        <xdr:cNvPr id="5" name="Imag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142875</xdr:colOff>
      <xdr:row>2</xdr:row>
      <xdr:rowOff>123824</xdr:rowOff>
    </xdr:from>
    <xdr:to>
      <xdr:col>8</xdr:col>
      <xdr:colOff>504825</xdr:colOff>
      <xdr:row>5</xdr:row>
      <xdr:rowOff>76199</xdr:rowOff>
    </xdr:to>
    <xdr:sp macro="" textlink="">
      <xdr:nvSpPr>
        <xdr:cNvPr id="6" name="Rectangle à coins arrondis 5">
          <a:hlinkClick xmlns:r="http://schemas.openxmlformats.org/officeDocument/2006/relationships" r:id="rId2"/>
        </xdr:cNvPr>
        <xdr:cNvSpPr/>
      </xdr:nvSpPr>
      <xdr:spPr>
        <a:xfrm>
          <a:off x="10553700" y="5048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142875</xdr:colOff>
      <xdr:row>6</xdr:row>
      <xdr:rowOff>38100</xdr:rowOff>
    </xdr:from>
    <xdr:to>
      <xdr:col>8</xdr:col>
      <xdr:colOff>504825</xdr:colOff>
      <xdr:row>8</xdr:row>
      <xdr:rowOff>76200</xdr:rowOff>
    </xdr:to>
    <xdr:sp macro="[0]!Enregistrer" textlink="">
      <xdr:nvSpPr>
        <xdr:cNvPr id="7" name="Rectangle à coins arrondis 6"/>
        <xdr:cNvSpPr/>
      </xdr:nvSpPr>
      <xdr:spPr>
        <a:xfrm>
          <a:off x="10553700" y="1181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142875</xdr:colOff>
      <xdr:row>9</xdr:row>
      <xdr:rowOff>57149</xdr:rowOff>
    </xdr:from>
    <xdr:to>
      <xdr:col>8</xdr:col>
      <xdr:colOff>504825</xdr:colOff>
      <xdr:row>12</xdr:row>
      <xdr:rowOff>9524</xdr:rowOff>
    </xdr:to>
    <xdr:sp macro="[0]!Enregistrer_et_quitter" textlink="">
      <xdr:nvSpPr>
        <xdr:cNvPr id="8" name="Rectangle à coins arrondis 7"/>
        <xdr:cNvSpPr/>
      </xdr:nvSpPr>
      <xdr:spPr>
        <a:xfrm>
          <a:off x="10553700" y="18764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392728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66675</xdr:colOff>
      <xdr:row>3</xdr:row>
      <xdr:rowOff>0</xdr:rowOff>
    </xdr:from>
    <xdr:to>
      <xdr:col>9</xdr:col>
      <xdr:colOff>428625</xdr:colOff>
      <xdr:row>5</xdr:row>
      <xdr:rowOff>142875</xdr:rowOff>
    </xdr:to>
    <xdr:sp macro="" textlink="">
      <xdr:nvSpPr>
        <xdr:cNvPr id="3" name="Rectangle à coins arrondis 2">
          <a:hlinkClick xmlns:r="http://schemas.openxmlformats.org/officeDocument/2006/relationships" r:id="rId2"/>
        </xdr:cNvPr>
        <xdr:cNvSpPr/>
      </xdr:nvSpPr>
      <xdr:spPr>
        <a:xfrm>
          <a:off x="99441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66675</xdr:colOff>
      <xdr:row>6</xdr:row>
      <xdr:rowOff>104776</xdr:rowOff>
    </xdr:from>
    <xdr:to>
      <xdr:col>9</xdr:col>
      <xdr:colOff>428625</xdr:colOff>
      <xdr:row>8</xdr:row>
      <xdr:rowOff>142876</xdr:rowOff>
    </xdr:to>
    <xdr:sp macro="[0]!Enregistrer" textlink="">
      <xdr:nvSpPr>
        <xdr:cNvPr id="4" name="Rectangle à coins arrondis 3"/>
        <xdr:cNvSpPr/>
      </xdr:nvSpPr>
      <xdr:spPr>
        <a:xfrm>
          <a:off x="99441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66675</xdr:colOff>
      <xdr:row>9</xdr:row>
      <xdr:rowOff>123825</xdr:rowOff>
    </xdr:from>
    <xdr:to>
      <xdr:col>9</xdr:col>
      <xdr:colOff>428625</xdr:colOff>
      <xdr:row>12</xdr:row>
      <xdr:rowOff>76200</xdr:rowOff>
    </xdr:to>
    <xdr:sp macro="[0]!Enregistrer_et_quitter" textlink="">
      <xdr:nvSpPr>
        <xdr:cNvPr id="5" name="Rectangle à coins arrondis 4"/>
        <xdr:cNvSpPr/>
      </xdr:nvSpPr>
      <xdr:spPr>
        <a:xfrm>
          <a:off x="99441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xdr:col>
      <xdr:colOff>285750</xdr:colOff>
      <xdr:row>10</xdr:row>
      <xdr:rowOff>85725</xdr:rowOff>
    </xdr:from>
    <xdr:to>
      <xdr:col>2</xdr:col>
      <xdr:colOff>876300</xdr:colOff>
      <xdr:row>15</xdr:row>
      <xdr:rowOff>38100</xdr:rowOff>
    </xdr:to>
    <xdr:sp macro="" textlink="">
      <xdr:nvSpPr>
        <xdr:cNvPr id="9" name="Rectangle à coins arrondis 8">
          <a:hlinkClick xmlns:r="http://schemas.openxmlformats.org/officeDocument/2006/relationships" r:id="rId3"/>
        </xdr:cNvPr>
        <xdr:cNvSpPr/>
      </xdr:nvSpPr>
      <xdr:spPr>
        <a:xfrm>
          <a:off x="1047750" y="2095500"/>
          <a:ext cx="1895475" cy="904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a:t>
          </a:r>
          <a:r>
            <a:rPr lang="fr-FR" sz="1100" baseline="0"/>
            <a:t> des achats</a:t>
          </a:r>
          <a:endParaRPr lang="fr-FR" sz="1100"/>
        </a:p>
      </xdr:txBody>
    </xdr:sp>
    <xdr:clientData/>
  </xdr:twoCellAnchor>
  <xdr:twoCellAnchor>
    <xdr:from>
      <xdr:col>2</xdr:col>
      <xdr:colOff>1743075</xdr:colOff>
      <xdr:row>10</xdr:row>
      <xdr:rowOff>76200</xdr:rowOff>
    </xdr:from>
    <xdr:to>
      <xdr:col>4</xdr:col>
      <xdr:colOff>619125</xdr:colOff>
      <xdr:row>15</xdr:row>
      <xdr:rowOff>47625</xdr:rowOff>
    </xdr:to>
    <xdr:sp macro="" textlink="">
      <xdr:nvSpPr>
        <xdr:cNvPr id="10" name="Rectangle à coins arrondis 9">
          <a:hlinkClick xmlns:r="http://schemas.openxmlformats.org/officeDocument/2006/relationships" r:id="rId4"/>
        </xdr:cNvPr>
        <xdr:cNvSpPr/>
      </xdr:nvSpPr>
      <xdr:spPr>
        <a:xfrm>
          <a:off x="3810000" y="2085975"/>
          <a:ext cx="18669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 des ventes</a:t>
          </a:r>
        </a:p>
      </xdr:txBody>
    </xdr:sp>
    <xdr:clientData/>
  </xdr:twoCellAnchor>
  <xdr:twoCellAnchor>
    <xdr:from>
      <xdr:col>2</xdr:col>
      <xdr:colOff>361950</xdr:colOff>
      <xdr:row>17</xdr:row>
      <xdr:rowOff>19050</xdr:rowOff>
    </xdr:from>
    <xdr:to>
      <xdr:col>3</xdr:col>
      <xdr:colOff>47625</xdr:colOff>
      <xdr:row>21</xdr:row>
      <xdr:rowOff>152400</xdr:rowOff>
    </xdr:to>
    <xdr:sp macro="[0]!VueDesStocks" textlink="">
      <xdr:nvSpPr>
        <xdr:cNvPr id="11" name="Rectangle à coins arrondis 10">
          <a:hlinkClick xmlns:r="http://schemas.openxmlformats.org/officeDocument/2006/relationships" r:id="rId5"/>
        </xdr:cNvPr>
        <xdr:cNvSpPr/>
      </xdr:nvSpPr>
      <xdr:spPr>
        <a:xfrm>
          <a:off x="2428875" y="3362325"/>
          <a:ext cx="1876425" cy="895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Vue des stocks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142875</xdr:rowOff>
    </xdr:from>
    <xdr:to>
      <xdr:col>9</xdr:col>
      <xdr:colOff>1028700</xdr:colOff>
      <xdr:row>3</xdr:row>
      <xdr:rowOff>95250</xdr:rowOff>
    </xdr:to>
    <xdr:sp macro="" textlink="">
      <xdr:nvSpPr>
        <xdr:cNvPr id="3" name="Rectangle à coins arrondis 2">
          <a:hlinkClick xmlns:r="http://schemas.openxmlformats.org/officeDocument/2006/relationships" r:id="rId1"/>
        </xdr:cNvPr>
        <xdr:cNvSpPr/>
      </xdr:nvSpPr>
      <xdr:spPr>
        <a:xfrm>
          <a:off x="9925050" y="142875"/>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0</xdr:colOff>
      <xdr:row>4</xdr:row>
      <xdr:rowOff>57151</xdr:rowOff>
    </xdr:from>
    <xdr:to>
      <xdr:col>9</xdr:col>
      <xdr:colOff>1076325</xdr:colOff>
      <xdr:row>7</xdr:row>
      <xdr:rowOff>9526</xdr:rowOff>
    </xdr:to>
    <xdr:sp macro="[0]!Enregistrer" textlink="">
      <xdr:nvSpPr>
        <xdr:cNvPr id="4" name="Rectangle à coins arrondis 3"/>
        <xdr:cNvSpPr/>
      </xdr:nvSpPr>
      <xdr:spPr>
        <a:xfrm>
          <a:off x="9925050" y="81915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0</xdr:colOff>
      <xdr:row>7</xdr:row>
      <xdr:rowOff>180975</xdr:rowOff>
    </xdr:from>
    <xdr:to>
      <xdr:col>9</xdr:col>
      <xdr:colOff>1104900</xdr:colOff>
      <xdr:row>10</xdr:row>
      <xdr:rowOff>133350</xdr:rowOff>
    </xdr:to>
    <xdr:sp macro="[0]!Enregistrer_et_quitter" textlink="">
      <xdr:nvSpPr>
        <xdr:cNvPr id="5" name="Rectangle à coins arrondis 4"/>
        <xdr:cNvSpPr/>
      </xdr:nvSpPr>
      <xdr:spPr>
        <a:xfrm>
          <a:off x="9925050" y="1514475"/>
          <a:ext cx="11049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2421553</xdr:colOff>
      <xdr:row>6</xdr:row>
      <xdr:rowOff>9991</xdr:rowOff>
    </xdr:to>
    <xdr:pic>
      <xdr:nvPicPr>
        <xdr:cNvPr id="6" name="Imag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4</xdr:col>
      <xdr:colOff>2266950</xdr:colOff>
      <xdr:row>12</xdr:row>
      <xdr:rowOff>9525</xdr:rowOff>
    </xdr:from>
    <xdr:to>
      <xdr:col>6</xdr:col>
      <xdr:colOff>104775</xdr:colOff>
      <xdr:row>15</xdr:row>
      <xdr:rowOff>104774</xdr:rowOff>
    </xdr:to>
    <xdr:sp macro="" textlink="">
      <xdr:nvSpPr>
        <xdr:cNvPr id="7" name="Rectangle à coins arrondis 6">
          <a:hlinkClick xmlns:r="http://schemas.openxmlformats.org/officeDocument/2006/relationships" r:id="rId3"/>
        </xdr:cNvPr>
        <xdr:cNvSpPr/>
      </xdr:nvSpPr>
      <xdr:spPr>
        <a:xfrm>
          <a:off x="5295900" y="2400300"/>
          <a:ext cx="1628775" cy="6667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twoCellAnchor>
    <xdr:from>
      <xdr:col>1</xdr:col>
      <xdr:colOff>523876</xdr:colOff>
      <xdr:row>12</xdr:row>
      <xdr:rowOff>19051</xdr:rowOff>
    </xdr:from>
    <xdr:to>
      <xdr:col>3</xdr:col>
      <xdr:colOff>700405</xdr:colOff>
      <xdr:row>15</xdr:row>
      <xdr:rowOff>104775</xdr:rowOff>
    </xdr:to>
    <xdr:sp macro="[0]!AjouterStock" textlink="">
      <xdr:nvSpPr>
        <xdr:cNvPr id="8" name="Rectangle à coins arrondis 7"/>
        <xdr:cNvSpPr/>
      </xdr:nvSpPr>
      <xdr:spPr>
        <a:xfrm>
          <a:off x="1285876" y="2409826"/>
          <a:ext cx="1652904" cy="6572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des produits</a:t>
          </a:r>
          <a:r>
            <a:rPr lang="fr-FR" sz="1100" baseline="0"/>
            <a:t> en stock</a:t>
          </a:r>
          <a:endParaRPr lang="fr-FR" sz="1100"/>
        </a:p>
      </xdr:txBody>
    </xdr:sp>
    <xdr:clientData/>
  </xdr:twoCellAnchor>
  <xdr:twoCellAnchor>
    <xdr:from>
      <xdr:col>4</xdr:col>
      <xdr:colOff>304801</xdr:colOff>
      <xdr:row>12</xdr:row>
      <xdr:rowOff>9525</xdr:rowOff>
    </xdr:from>
    <xdr:to>
      <xdr:col>4</xdr:col>
      <xdr:colOff>1818959</xdr:colOff>
      <xdr:row>15</xdr:row>
      <xdr:rowOff>105074</xdr:rowOff>
    </xdr:to>
    <xdr:sp macro="[0]!ModifierAchat" textlink="">
      <xdr:nvSpPr>
        <xdr:cNvPr id="9" name="Rectangle à coins arrondis 8"/>
        <xdr:cNvSpPr/>
      </xdr:nvSpPr>
      <xdr:spPr>
        <a:xfrm>
          <a:off x="3333751" y="2400300"/>
          <a:ext cx="1514158" cy="6670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achat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552450</xdr:colOff>
      <xdr:row>1</xdr:row>
      <xdr:rowOff>38100</xdr:rowOff>
    </xdr:from>
    <xdr:to>
      <xdr:col>10</xdr:col>
      <xdr:colOff>904875</xdr:colOff>
      <xdr:row>3</xdr:row>
      <xdr:rowOff>180975</xdr:rowOff>
    </xdr:to>
    <xdr:sp macro="" textlink="">
      <xdr:nvSpPr>
        <xdr:cNvPr id="5" name="Rectangle à coins arrondis 4">
          <a:hlinkClick xmlns:r="http://schemas.openxmlformats.org/officeDocument/2006/relationships" r:id="rId1"/>
        </xdr:cNvPr>
        <xdr:cNvSpPr/>
      </xdr:nvSpPr>
      <xdr:spPr>
        <a:xfrm>
          <a:off x="9991725" y="228600"/>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552450</xdr:colOff>
      <xdr:row>4</xdr:row>
      <xdr:rowOff>142876</xdr:rowOff>
    </xdr:from>
    <xdr:to>
      <xdr:col>10</xdr:col>
      <xdr:colOff>933450</xdr:colOff>
      <xdr:row>7</xdr:row>
      <xdr:rowOff>95251</xdr:rowOff>
    </xdr:to>
    <xdr:sp macro="[0]!Enregistrer" textlink="">
      <xdr:nvSpPr>
        <xdr:cNvPr id="6" name="Rectangle à coins arrondis 5"/>
        <xdr:cNvSpPr/>
      </xdr:nvSpPr>
      <xdr:spPr>
        <a:xfrm>
          <a:off x="9991725" y="90487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552450</xdr:colOff>
      <xdr:row>7</xdr:row>
      <xdr:rowOff>247650</xdr:rowOff>
    </xdr:from>
    <xdr:to>
      <xdr:col>11</xdr:col>
      <xdr:colOff>0</xdr:colOff>
      <xdr:row>10</xdr:row>
      <xdr:rowOff>95250</xdr:rowOff>
    </xdr:to>
    <xdr:sp macro="[0]!Enregistrer_et_quitter" textlink="">
      <xdr:nvSpPr>
        <xdr:cNvPr id="7" name="Rectangle à coins arrondis 6"/>
        <xdr:cNvSpPr/>
      </xdr:nvSpPr>
      <xdr:spPr>
        <a:xfrm>
          <a:off x="9991725" y="1581150"/>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1078528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238125</xdr:colOff>
      <xdr:row>10</xdr:row>
      <xdr:rowOff>0</xdr:rowOff>
    </xdr:from>
    <xdr:to>
      <xdr:col>5</xdr:col>
      <xdr:colOff>285750</xdr:colOff>
      <xdr:row>13</xdr:row>
      <xdr:rowOff>76200</xdr:rowOff>
    </xdr:to>
    <xdr:sp macro="[0]!ModifierVente" textlink="">
      <xdr:nvSpPr>
        <xdr:cNvPr id="10" name="Rectangle à coins arrondis 9"/>
        <xdr:cNvSpPr/>
      </xdr:nvSpPr>
      <xdr:spPr>
        <a:xfrm>
          <a:off x="3057525" y="2009775"/>
          <a:ext cx="1600200"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une vente</a:t>
          </a:r>
        </a:p>
      </xdr:txBody>
    </xdr:sp>
    <xdr:clientData/>
  </xdr:twoCellAnchor>
  <xdr:twoCellAnchor>
    <xdr:from>
      <xdr:col>1</xdr:col>
      <xdr:colOff>419100</xdr:colOff>
      <xdr:row>10</xdr:row>
      <xdr:rowOff>0</xdr:rowOff>
    </xdr:from>
    <xdr:to>
      <xdr:col>3</xdr:col>
      <xdr:colOff>9525</xdr:colOff>
      <xdr:row>13</xdr:row>
      <xdr:rowOff>76200</xdr:rowOff>
    </xdr:to>
    <xdr:sp macro="[0]!AjouterVente" textlink="">
      <xdr:nvSpPr>
        <xdr:cNvPr id="3" name="Rectangle à coins arrondis 2"/>
        <xdr:cNvSpPr/>
      </xdr:nvSpPr>
      <xdr:spPr>
        <a:xfrm>
          <a:off x="1181100" y="2009775"/>
          <a:ext cx="16478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une</a:t>
          </a:r>
          <a:r>
            <a:rPr lang="fr-FR" sz="1100" baseline="0"/>
            <a:t> vente</a:t>
          </a:r>
          <a:endParaRPr lang="fr-FR" sz="1100"/>
        </a:p>
      </xdr:txBody>
    </xdr:sp>
    <xdr:clientData/>
  </xdr:twoCellAnchor>
  <xdr:twoCellAnchor>
    <xdr:from>
      <xdr:col>5</xdr:col>
      <xdr:colOff>514350</xdr:colOff>
      <xdr:row>10</xdr:row>
      <xdr:rowOff>0</xdr:rowOff>
    </xdr:from>
    <xdr:to>
      <xdr:col>5</xdr:col>
      <xdr:colOff>2143125</xdr:colOff>
      <xdr:row>13</xdr:row>
      <xdr:rowOff>85725</xdr:rowOff>
    </xdr:to>
    <xdr:sp macro="" textlink="">
      <xdr:nvSpPr>
        <xdr:cNvPr id="11" name="Rectangle à coins arrondis 10">
          <a:hlinkClick xmlns:r="http://schemas.openxmlformats.org/officeDocument/2006/relationships" r:id="rId3"/>
        </xdr:cNvPr>
        <xdr:cNvSpPr/>
      </xdr:nvSpPr>
      <xdr:spPr>
        <a:xfrm>
          <a:off x="4886325" y="2009775"/>
          <a:ext cx="1628775" cy="657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638174</xdr:colOff>
      <xdr:row>1</xdr:row>
      <xdr:rowOff>133350</xdr:rowOff>
    </xdr:from>
    <xdr:to>
      <xdr:col>9</xdr:col>
      <xdr:colOff>638174</xdr:colOff>
      <xdr:row>4</xdr:row>
      <xdr:rowOff>76200</xdr:rowOff>
    </xdr:to>
    <xdr:sp macro="" textlink="">
      <xdr:nvSpPr>
        <xdr:cNvPr id="2" name="Rectangle à coins arrondis 1">
          <a:hlinkClick xmlns:r="http://schemas.openxmlformats.org/officeDocument/2006/relationships" r:id="rId1"/>
        </xdr:cNvPr>
        <xdr:cNvSpPr/>
      </xdr:nvSpPr>
      <xdr:spPr>
        <a:xfrm>
          <a:off x="9658349" y="323850"/>
          <a:ext cx="1028700" cy="5143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638175</xdr:colOff>
      <xdr:row>5</xdr:row>
      <xdr:rowOff>47626</xdr:rowOff>
    </xdr:from>
    <xdr:to>
      <xdr:col>9</xdr:col>
      <xdr:colOff>666750</xdr:colOff>
      <xdr:row>7</xdr:row>
      <xdr:rowOff>190501</xdr:rowOff>
    </xdr:to>
    <xdr:sp macro="[0]!Enregistrer" textlink="">
      <xdr:nvSpPr>
        <xdr:cNvPr id="3" name="Rectangle à coins arrondis 2"/>
        <xdr:cNvSpPr/>
      </xdr:nvSpPr>
      <xdr:spPr>
        <a:xfrm>
          <a:off x="9658350" y="100012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638174</xdr:colOff>
      <xdr:row>8</xdr:row>
      <xdr:rowOff>66675</xdr:rowOff>
    </xdr:from>
    <xdr:to>
      <xdr:col>9</xdr:col>
      <xdr:colOff>685800</xdr:colOff>
      <xdr:row>10</xdr:row>
      <xdr:rowOff>171450</xdr:rowOff>
    </xdr:to>
    <xdr:sp macro="[0]!Enregistrer_et_quitter" textlink="">
      <xdr:nvSpPr>
        <xdr:cNvPr id="4" name="Rectangle à coins arrondis 3"/>
        <xdr:cNvSpPr/>
      </xdr:nvSpPr>
      <xdr:spPr>
        <a:xfrm>
          <a:off x="9658349" y="1695450"/>
          <a:ext cx="1076326" cy="4857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392728</xdr:colOff>
      <xdr:row>6</xdr:row>
      <xdr:rowOff>9991</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742950</xdr:colOff>
      <xdr:row>9</xdr:row>
      <xdr:rowOff>114300</xdr:rowOff>
    </xdr:from>
    <xdr:to>
      <xdr:col>3</xdr:col>
      <xdr:colOff>2114549</xdr:colOff>
      <xdr:row>13</xdr:row>
      <xdr:rowOff>28575</xdr:rowOff>
    </xdr:to>
    <xdr:sp macro="" textlink="">
      <xdr:nvSpPr>
        <xdr:cNvPr id="6" name="Rectangle à coins arrondis 5">
          <a:hlinkClick xmlns:r="http://schemas.openxmlformats.org/officeDocument/2006/relationships" r:id="rId3"/>
        </xdr:cNvPr>
        <xdr:cNvSpPr/>
      </xdr:nvSpPr>
      <xdr:spPr>
        <a:xfrm>
          <a:off x="3267075" y="1933575"/>
          <a:ext cx="137159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742950</xdr:colOff>
      <xdr:row>2</xdr:row>
      <xdr:rowOff>171450</xdr:rowOff>
    </xdr:from>
    <xdr:to>
      <xdr:col>10</xdr:col>
      <xdr:colOff>152400</xdr:colOff>
      <xdr:row>5</xdr:row>
      <xdr:rowOff>123825</xdr:rowOff>
    </xdr:to>
    <xdr:sp macro="" textlink="">
      <xdr:nvSpPr>
        <xdr:cNvPr id="5" name="Rectangle à coins arrondis 4">
          <a:hlinkClick xmlns:r="http://schemas.openxmlformats.org/officeDocument/2006/relationships" r:id="rId1"/>
        </xdr:cNvPr>
        <xdr:cNvSpPr/>
      </xdr:nvSpPr>
      <xdr:spPr>
        <a:xfrm>
          <a:off x="8439150" y="552450"/>
          <a:ext cx="13335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742950</xdr:colOff>
      <xdr:row>6</xdr:row>
      <xdr:rowOff>85726</xdr:rowOff>
    </xdr:from>
    <xdr:to>
      <xdr:col>10</xdr:col>
      <xdr:colOff>152400</xdr:colOff>
      <xdr:row>9</xdr:row>
      <xdr:rowOff>38101</xdr:rowOff>
    </xdr:to>
    <xdr:sp macro="[0]!Enregistrer" textlink="">
      <xdr:nvSpPr>
        <xdr:cNvPr id="6" name="Rectangle à coins arrondis 5"/>
        <xdr:cNvSpPr/>
      </xdr:nvSpPr>
      <xdr:spPr>
        <a:xfrm>
          <a:off x="8439150" y="1228726"/>
          <a:ext cx="13335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742950</xdr:colOff>
      <xdr:row>10</xdr:row>
      <xdr:rowOff>19050</xdr:rowOff>
    </xdr:from>
    <xdr:to>
      <xdr:col>10</xdr:col>
      <xdr:colOff>152400</xdr:colOff>
      <xdr:row>12</xdr:row>
      <xdr:rowOff>161925</xdr:rowOff>
    </xdr:to>
    <xdr:sp macro="[0]!Enregistrer_et_quitter" textlink="">
      <xdr:nvSpPr>
        <xdr:cNvPr id="7" name="Rectangle à coins arrondis 6"/>
        <xdr:cNvSpPr/>
      </xdr:nvSpPr>
      <xdr:spPr>
        <a:xfrm>
          <a:off x="8439150" y="2028825"/>
          <a:ext cx="13335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640378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792778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790575</xdr:colOff>
      <xdr:row>2</xdr:row>
      <xdr:rowOff>9525</xdr:rowOff>
    </xdr:from>
    <xdr:to>
      <xdr:col>9</xdr:col>
      <xdr:colOff>942975</xdr:colOff>
      <xdr:row>4</xdr:row>
      <xdr:rowOff>152400</xdr:rowOff>
    </xdr:to>
    <xdr:sp macro="" textlink="">
      <xdr:nvSpPr>
        <xdr:cNvPr id="3" name="Rectangle à coins arrondis 2">
          <a:hlinkClick xmlns:r="http://schemas.openxmlformats.org/officeDocument/2006/relationships" r:id="rId2"/>
        </xdr:cNvPr>
        <xdr:cNvSpPr/>
      </xdr:nvSpPr>
      <xdr:spPr>
        <a:xfrm>
          <a:off x="9553575" y="3905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790575</xdr:colOff>
      <xdr:row>5</xdr:row>
      <xdr:rowOff>114301</xdr:rowOff>
    </xdr:from>
    <xdr:to>
      <xdr:col>9</xdr:col>
      <xdr:colOff>942975</xdr:colOff>
      <xdr:row>7</xdr:row>
      <xdr:rowOff>257176</xdr:rowOff>
    </xdr:to>
    <xdr:sp macro="[0]!Enregistrer" textlink="">
      <xdr:nvSpPr>
        <xdr:cNvPr id="4" name="Rectangle à coins arrondis 3"/>
        <xdr:cNvSpPr/>
      </xdr:nvSpPr>
      <xdr:spPr>
        <a:xfrm>
          <a:off x="9553575" y="106680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790575</xdr:colOff>
      <xdr:row>8</xdr:row>
      <xdr:rowOff>133350</xdr:rowOff>
    </xdr:from>
    <xdr:to>
      <xdr:col>9</xdr:col>
      <xdr:colOff>942975</xdr:colOff>
      <xdr:row>11</xdr:row>
      <xdr:rowOff>85725</xdr:rowOff>
    </xdr:to>
    <xdr:sp macro="[0]!Enregistrer_et_quitter" textlink="">
      <xdr:nvSpPr>
        <xdr:cNvPr id="5" name="Rectangle à coins arrondis 4"/>
        <xdr:cNvSpPr/>
      </xdr:nvSpPr>
      <xdr:spPr>
        <a:xfrm>
          <a:off x="9553575" y="17621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xdr:from>
      <xdr:col>1</xdr:col>
      <xdr:colOff>76200</xdr:colOff>
      <xdr:row>21</xdr:row>
      <xdr:rowOff>38101</xdr:rowOff>
    </xdr:from>
    <xdr:to>
      <xdr:col>5</xdr:col>
      <xdr:colOff>35719</xdr:colOff>
      <xdr:row>39</xdr:row>
      <xdr:rowOff>166687</xdr:rowOff>
    </xdr:to>
    <xdr:graphicFrame macro="">
      <xdr:nvGraphicFramePr>
        <xdr:cNvPr id="6" name="VueEnsembleBudget" descr="Graphique en barres affichant les revenus et les dépenses en fonction du coût estimé par rapport au coût réel" title="Vue d’ensemble du budge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1019175</xdr:colOff>
      <xdr:row>9</xdr:row>
      <xdr:rowOff>123825</xdr:rowOff>
    </xdr:from>
    <xdr:to>
      <xdr:col>2</xdr:col>
      <xdr:colOff>180975</xdr:colOff>
      <xdr:row>12</xdr:row>
      <xdr:rowOff>57150</xdr:rowOff>
    </xdr:to>
    <xdr:sp macro="[0]!AjouterUnPoste" textlink="">
      <xdr:nvSpPr>
        <xdr:cNvPr id="7" name="Rectangle à coins arrondis 6"/>
        <xdr:cNvSpPr/>
      </xdr:nvSpPr>
      <xdr:spPr>
        <a:xfrm>
          <a:off x="1343025" y="1943100"/>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 poste</a:t>
          </a:r>
        </a:p>
      </xdr:txBody>
    </xdr:sp>
    <xdr:clientData/>
  </xdr:twoCellAnchor>
  <xdr:twoCellAnchor>
    <xdr:from>
      <xdr:col>2</xdr:col>
      <xdr:colOff>885825</xdr:colOff>
      <xdr:row>9</xdr:row>
      <xdr:rowOff>133350</xdr:rowOff>
    </xdr:from>
    <xdr:to>
      <xdr:col>4</xdr:col>
      <xdr:colOff>266700</xdr:colOff>
      <xdr:row>12</xdr:row>
      <xdr:rowOff>66675</xdr:rowOff>
    </xdr:to>
    <xdr:sp macro="[0]!ModifierUnPoste" textlink="">
      <xdr:nvSpPr>
        <xdr:cNvPr id="9" name="Rectangle à coins arrondis 8"/>
        <xdr:cNvSpPr/>
      </xdr:nvSpPr>
      <xdr:spPr>
        <a:xfrm>
          <a:off x="3486150" y="1952625"/>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poste</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116503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11</xdr:col>
      <xdr:colOff>0</xdr:colOff>
      <xdr:row>3</xdr:row>
      <xdr:rowOff>0</xdr:rowOff>
    </xdr:from>
    <xdr:to>
      <xdr:col>12</xdr:col>
      <xdr:colOff>371475</xdr:colOff>
      <xdr:row>5</xdr:row>
      <xdr:rowOff>142875</xdr:rowOff>
    </xdr:to>
    <xdr:sp macro="" textlink="">
      <xdr:nvSpPr>
        <xdr:cNvPr id="3" name="Rectangle à coins arrondis 2">
          <a:hlinkClick xmlns:r="http://schemas.openxmlformats.org/officeDocument/2006/relationships" r:id="rId2"/>
        </xdr:cNvPr>
        <xdr:cNvSpPr/>
      </xdr:nvSpPr>
      <xdr:spPr>
        <a:xfrm>
          <a:off x="83820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11</xdr:col>
      <xdr:colOff>0</xdr:colOff>
      <xdr:row>6</xdr:row>
      <xdr:rowOff>104776</xdr:rowOff>
    </xdr:from>
    <xdr:to>
      <xdr:col>12</xdr:col>
      <xdr:colOff>371475</xdr:colOff>
      <xdr:row>8</xdr:row>
      <xdr:rowOff>142876</xdr:rowOff>
    </xdr:to>
    <xdr:sp macro="[0]!Enregistrer" textlink="">
      <xdr:nvSpPr>
        <xdr:cNvPr id="4" name="Rectangle à coins arrondis 3"/>
        <xdr:cNvSpPr/>
      </xdr:nvSpPr>
      <xdr:spPr>
        <a:xfrm>
          <a:off x="83820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11</xdr:col>
      <xdr:colOff>0</xdr:colOff>
      <xdr:row>9</xdr:row>
      <xdr:rowOff>123825</xdr:rowOff>
    </xdr:from>
    <xdr:to>
      <xdr:col>12</xdr:col>
      <xdr:colOff>371475</xdr:colOff>
      <xdr:row>12</xdr:row>
      <xdr:rowOff>76200</xdr:rowOff>
    </xdr:to>
    <xdr:sp macro="[0]!Enregistrer_et_quitter" textlink="">
      <xdr:nvSpPr>
        <xdr:cNvPr id="5" name="Rectangle à coins arrondis 4"/>
        <xdr:cNvSpPr/>
      </xdr:nvSpPr>
      <xdr:spPr>
        <a:xfrm>
          <a:off x="83820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402253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647700</xdr:colOff>
      <xdr:row>4</xdr:row>
      <xdr:rowOff>38100</xdr:rowOff>
    </xdr:from>
    <xdr:to>
      <xdr:col>8</xdr:col>
      <xdr:colOff>771525</xdr:colOff>
      <xdr:row>6</xdr:row>
      <xdr:rowOff>180975</xdr:rowOff>
    </xdr:to>
    <xdr:sp macro="" textlink="">
      <xdr:nvSpPr>
        <xdr:cNvPr id="3" name="Rectangle à coins arrondis 2">
          <a:hlinkClick xmlns:r="http://schemas.openxmlformats.org/officeDocument/2006/relationships" r:id="rId2"/>
        </xdr:cNvPr>
        <xdr:cNvSpPr/>
      </xdr:nvSpPr>
      <xdr:spPr>
        <a:xfrm>
          <a:off x="9906000" y="800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647700</xdr:colOff>
      <xdr:row>7</xdr:row>
      <xdr:rowOff>142876</xdr:rowOff>
    </xdr:from>
    <xdr:to>
      <xdr:col>8</xdr:col>
      <xdr:colOff>771525</xdr:colOff>
      <xdr:row>9</xdr:row>
      <xdr:rowOff>180976</xdr:rowOff>
    </xdr:to>
    <xdr:sp macro="[0]!Enregistrer" textlink="">
      <xdr:nvSpPr>
        <xdr:cNvPr id="4" name="Rectangle à coins arrondis 3"/>
        <xdr:cNvSpPr/>
      </xdr:nvSpPr>
      <xdr:spPr>
        <a:xfrm>
          <a:off x="9906000" y="14763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657225</xdr:colOff>
      <xdr:row>10</xdr:row>
      <xdr:rowOff>114300</xdr:rowOff>
    </xdr:from>
    <xdr:to>
      <xdr:col>8</xdr:col>
      <xdr:colOff>781050</xdr:colOff>
      <xdr:row>13</xdr:row>
      <xdr:rowOff>66675</xdr:rowOff>
    </xdr:to>
    <xdr:sp macro="[0]!Enregistrer_et_quitter" textlink="">
      <xdr:nvSpPr>
        <xdr:cNvPr id="5" name="Rectangle à coins arrondis 4"/>
        <xdr:cNvSpPr/>
      </xdr:nvSpPr>
      <xdr:spPr>
        <a:xfrm>
          <a:off x="9734550" y="21240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S103458075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dget Mensuel"/>
    </sheetNames>
    <sheetDataSet>
      <sheetData sheetId="0">
        <row r="5">
          <cell r="C5" t="str">
            <v>ESTIMÉ</v>
          </cell>
          <cell r="D5" t="str">
            <v>RÉEL</v>
          </cell>
        </row>
        <row r="6">
          <cell r="B6" t="str">
            <v>Revenus</v>
          </cell>
          <cell r="C6">
            <v>63300</v>
          </cell>
          <cell r="D6">
            <v>57450</v>
          </cell>
        </row>
        <row r="7">
          <cell r="B7" t="str">
            <v>Dépenses</v>
          </cell>
          <cell r="C7">
            <v>54500</v>
          </cell>
          <cell r="D7">
            <v>49630</v>
          </cell>
        </row>
      </sheetData>
    </sheetDataSet>
  </externalBook>
</externalLink>
</file>

<file path=xl/tables/table1.xml><?xml version="1.0" encoding="utf-8"?>
<table xmlns="http://schemas.openxmlformats.org/spreadsheetml/2006/main" id="2" name="CodeCaisse1" displayName="CodeCaisse1" ref="B15:G22" totalsRowShown="0" headerRowDxfId="253" dataDxfId="252">
  <autoFilter ref="B15:G22"/>
  <tableColumns count="6">
    <tableColumn id="13" name="Code caisse" dataDxfId="251"/>
    <tableColumn id="12" name="Référence produit" dataDxfId="250">
      <calculatedColumnFormula>"BON"&amp;TEXT(ROW(B1),"000")</calculatedColumnFormula>
    </tableColumn>
    <tableColumn id="2" name="Désignation" dataDxfId="249"/>
    <tableColumn id="15" name="Fournisseur" dataDxfId="248"/>
    <tableColumn id="3" name="Marque" dataDxfId="247"/>
    <tableColumn id="6" name="Prix de vente" dataDxfId="246"/>
  </tableColumns>
  <tableStyleInfo name="TableStyleMedium2" showFirstColumn="0" showLastColumn="0" showRowStripes="1" showColumnStripes="0"/>
</table>
</file>

<file path=xl/tables/table2.xml><?xml version="1.0" encoding="utf-8"?>
<table xmlns="http://schemas.openxmlformats.org/spreadsheetml/2006/main" id="4" name="CodeCaisse2" displayName="CodeCaisse2" ref="B24:G28" totalsRowShown="0" headerRowDxfId="245" dataDxfId="244">
  <autoFilter ref="B24:G28"/>
  <tableColumns count="6">
    <tableColumn id="1" name="Code caisse" dataDxfId="243"/>
    <tableColumn id="2" name="Référence produit" dataDxfId="242">
      <calculatedColumnFormula>"BOU"&amp;TEXT(ROW(B1),"000")</calculatedColumnFormula>
    </tableColumn>
    <tableColumn id="3" name="Désignation" dataDxfId="241"/>
    <tableColumn id="6" name="Fournisseur" dataDxfId="240"/>
    <tableColumn id="4" name="Marque" dataDxfId="239"/>
    <tableColumn id="5" name="Prix de vente" dataDxfId="238"/>
  </tableColumns>
  <tableStyleInfo name="TableStyleMedium2" showFirstColumn="0" showLastColumn="0" showRowStripes="1" showColumnStripes="0"/>
</table>
</file>

<file path=xl/tables/table3.xml><?xml version="1.0" encoding="utf-8"?>
<table xmlns="http://schemas.openxmlformats.org/spreadsheetml/2006/main" id="5" name="CodeCaisse3" displayName="CodeCaisse3" ref="B30:G33" totalsRowShown="0" headerRowDxfId="237" dataDxfId="236">
  <autoFilter ref="B30:G33"/>
  <tableColumns count="6">
    <tableColumn id="1" name="Code caisse" dataDxfId="235"/>
    <tableColumn id="2" name="Référence produit" dataDxfId="234">
      <calculatedColumnFormula>"COL"&amp;TEXT(ROW(B1),"000")</calculatedColumnFormula>
    </tableColumn>
    <tableColumn id="3" name="Désignation" dataDxfId="233"/>
    <tableColumn id="6" name="Fournisseur" dataDxfId="232"/>
    <tableColumn id="4" name="Marque" dataDxfId="231"/>
    <tableColumn id="5" name="Prix de vente" dataDxfId="230"/>
  </tableColumns>
  <tableStyleInfo name="TableStyleMedium2" showFirstColumn="0" showLastColumn="0" showRowStripes="1" showColumnStripes="0"/>
</table>
</file>

<file path=xl/tables/table4.xml><?xml version="1.0" encoding="utf-8"?>
<table xmlns="http://schemas.openxmlformats.org/spreadsheetml/2006/main" id="6" name="CodeCaisse4" displayName="CodeCaisse4" ref="B35:G36" insertRow="1" totalsRowShown="0" headerRowDxfId="229" dataDxfId="228">
  <autoFilter ref="B35:G36"/>
  <tableColumns count="6">
    <tableColumn id="1" name="Code caisse" dataDxfId="227"/>
    <tableColumn id="2" name="Référence produit" dataDxfId="226">
      <calculatedColumnFormula>"PAR"&amp;TEXT(ROW(B1),"000")</calculatedColumnFormula>
    </tableColumn>
    <tableColumn id="3" name="Désignation" dataDxfId="225"/>
    <tableColumn id="6" name="Fournisseur" dataDxfId="224"/>
    <tableColumn id="4" name="Marque" dataDxfId="223"/>
    <tableColumn id="5" name="Prix de vente" dataDxfId="222"/>
  </tableColumns>
  <tableStyleInfo name="TableStyleMedium2" showFirstColumn="0" showLastColumn="0" showRowStripes="1" showColumnStripes="0"/>
</table>
</file>

<file path=xl/tables/table5.xml><?xml version="1.0" encoding="utf-8"?>
<table xmlns="http://schemas.openxmlformats.org/spreadsheetml/2006/main" id="7" name="CodeCaisse5" displayName="CodeCaisse5" ref="B38:G39" insertRow="1" totalsRowShown="0" headerRowDxfId="221" dataDxfId="220">
  <autoFilter ref="B38:G39"/>
  <tableColumns count="6">
    <tableColumn id="1" name="Code caisse" dataDxfId="219"/>
    <tableColumn id="2" name="Référence produit" dataDxfId="218">
      <calculatedColumnFormula>"BRA"&amp;TEXT(ROW(B1),"000")</calculatedColumnFormula>
    </tableColumn>
    <tableColumn id="3" name="Désignation" dataDxfId="217"/>
    <tableColumn id="6" name="Fournisseur" dataDxfId="216"/>
    <tableColumn id="4" name="Marque" dataDxfId="215"/>
    <tableColumn id="5" name="Prix de vente" dataDxfId="214"/>
  </tableColumns>
  <tableStyleInfo name="TableStyleMedium2" showFirstColumn="0" showLastColumn="0" showRowStripes="1" showColumnStripes="0"/>
</table>
</file>

<file path=xl/tables/table6.xml><?xml version="1.0" encoding="utf-8"?>
<table xmlns="http://schemas.openxmlformats.org/spreadsheetml/2006/main" id="8" name="CodeCaisse6" displayName="CodeCaisse6" ref="B41:G42" insertRow="1" totalsRowShown="0" headerRowDxfId="213" dataDxfId="212">
  <autoFilter ref="B41:G42"/>
  <tableColumns count="6">
    <tableColumn id="1" name="Code caisse" dataDxfId="211"/>
    <tableColumn id="2" name="Référence produit" dataDxfId="210">
      <calculatedColumnFormula>"CLO"&amp;TEXT(ROW(B1),"000")</calculatedColumnFormula>
    </tableColumn>
    <tableColumn id="3" name="Désignation" dataDxfId="209"/>
    <tableColumn id="6" name="Fournisseur" dataDxfId="208"/>
    <tableColumn id="4" name="Marque" dataDxfId="207"/>
    <tableColumn id="5" name="Prix de vente" dataDxfId="206"/>
  </tableColumns>
  <tableStyleInfo name="TableStyleMedium2" showFirstColumn="0" showLastColumn="0" showRowStripes="1" showColumnStripes="0"/>
</table>
</file>

<file path=xl/tables/table7.xml><?xml version="1.0" encoding="utf-8"?>
<table xmlns="http://schemas.openxmlformats.org/spreadsheetml/2006/main" id="9" name="CodeCaisse7" displayName="CodeCaisse7" ref="B44:G45" insertRow="1" totalsRowShown="0" headerRowDxfId="205" dataDxfId="204">
  <autoFilter ref="B44:G45"/>
  <tableColumns count="6">
    <tableColumn id="1" name="Code caisse" dataDxfId="203"/>
    <tableColumn id="2" name="Référence produit" dataDxfId="202">
      <calculatedColumnFormula>"PIE"&amp;TEXT(ROW(B1),"000")</calculatedColumnFormula>
    </tableColumn>
    <tableColumn id="3" name="Désignation" dataDxfId="201"/>
    <tableColumn id="6" name="Fournisseur" dataDxfId="200"/>
    <tableColumn id="4" name="Marque" dataDxfId="199"/>
    <tableColumn id="5" name="Prix de vente" dataDxfId="198"/>
  </tableColumns>
  <tableStyleInfo name="TableStyleMedium2" showFirstColumn="0" showLastColumn="0" showRowStripes="1" showColumnStripes="0"/>
</table>
</file>

<file path=xl/tables/table8.xml><?xml version="1.0" encoding="utf-8"?>
<table xmlns="http://schemas.openxmlformats.org/spreadsheetml/2006/main" id="10" name="CodeCaisse8" displayName="CodeCaisse8" ref="B47:G48" insertRow="1" totalsRowShown="0" headerRowDxfId="197" dataDxfId="196">
  <autoFilter ref="B47:G48"/>
  <tableColumns count="6">
    <tableColumn id="1" name="Code caisse" dataDxfId="195"/>
    <tableColumn id="2" name="Référence produit" dataDxfId="194">
      <calculatedColumnFormula>"CHE"&amp;TEXT(ROW(B1),"000")</calculatedColumnFormula>
    </tableColumn>
    <tableColumn id="3" name="Désignation" dataDxfId="193"/>
    <tableColumn id="6" name="Fournisseur" dataDxfId="192"/>
    <tableColumn id="4" name="Marque" dataDxfId="191"/>
    <tableColumn id="5" name="Prix de vente" dataDxfId="190"/>
  </tableColumns>
  <tableStyleInfo name="TableStyleMedium2" showFirstColumn="0" showLastColumn="0" showRowStripes="1" showColumnStripes="0"/>
</table>
</file>

<file path=xl/tables/table9.xml><?xml version="1.0" encoding="utf-8"?>
<table xmlns="http://schemas.openxmlformats.org/spreadsheetml/2006/main" id="11" name="CodeCaisse9" displayName="CodeCaisse9" ref="B50:G51" insertRow="1" totalsRowShown="0" headerRowDxfId="189" dataDxfId="188">
  <autoFilter ref="B50:G51"/>
  <tableColumns count="6">
    <tableColumn id="1" name="Code caisse" dataDxfId="187"/>
    <tableColumn id="2" name="Référence produit" dataDxfId="186">
      <calculatedColumnFormula>"SAC"&amp;TEXT(ROW(B1),"000")</calculatedColumnFormula>
    </tableColumn>
    <tableColumn id="3" name="Désignation" dataDxfId="185"/>
    <tableColumn id="6" name="Fournisseur" dataDxfId="184"/>
    <tableColumn id="4" name="Marque" dataDxfId="183"/>
    <tableColumn id="5" name="Prix de vente" dataDxfId="182"/>
  </tableColumns>
  <tableStyleInfo name="TableStyleMedium2" showFirstColumn="0" showLastColumn="0" showRowStripes="1" showColumnStripes="0"/>
</table>
</file>

<file path=xl/tables/table10.xml><?xml version="1.0" encoding="utf-8"?>
<table xmlns="http://schemas.openxmlformats.org/spreadsheetml/2006/main" id="12" name="CodeCaisse10" displayName="CodeCaisse10" ref="B53:G54" insertRow="1" totalsRowShown="0" headerRowDxfId="181" dataDxfId="180">
  <autoFilter ref="B53:G54"/>
  <tableColumns count="6">
    <tableColumn id="1" name="Code caisse" dataDxfId="179"/>
    <tableColumn id="2" name="Référence produit" dataDxfId="178">
      <calculatedColumnFormula>"VER"&amp;TEXT(ROW(B1),"000")</calculatedColumnFormula>
    </tableColumn>
    <tableColumn id="3" name="Désignation" dataDxfId="177"/>
    <tableColumn id="6" name="Fournisseur" dataDxfId="176"/>
    <tableColumn id="4" name="Marque" dataDxfId="175"/>
    <tableColumn id="5" name="Prix de vente" dataDxfId="174"/>
  </tableColumns>
  <tableStyleInfo name="TableStyleMedium2" showFirstColumn="0" showLastColumn="0" showRowStripes="1" showColumnStripes="0"/>
</table>
</file>

<file path=xl/tables/table11.xml><?xml version="1.0" encoding="utf-8"?>
<table xmlns="http://schemas.openxmlformats.org/spreadsheetml/2006/main" id="13" name="CodeCaisse11" displayName="CodeCaisse11" ref="B56:G57" insertRow="1" totalsRowShown="0" headerRowDxfId="173" dataDxfId="172">
  <autoFilter ref="B56:G57"/>
  <tableColumns count="6">
    <tableColumn id="1" name="Code caisse" dataDxfId="171"/>
    <tableColumn id="2" name="Référence produit" dataDxfId="170">
      <calculatedColumnFormula>"ACO"&amp;TEXT(ROW(B1),"000")</calculatedColumnFormula>
    </tableColumn>
    <tableColumn id="3" name="Désignation" dataDxfId="169"/>
    <tableColumn id="6" name="Fournisseur" dataDxfId="168"/>
    <tableColumn id="4" name="Marque" dataDxfId="167"/>
    <tableColumn id="5" name="Prix de vente" dataDxfId="166"/>
  </tableColumns>
  <tableStyleInfo name="TableStyleMedium2" showFirstColumn="0" showLastColumn="0" showRowStripes="1" showColumnStripes="0"/>
</table>
</file>

<file path=xl/tables/table12.xml><?xml version="1.0" encoding="utf-8"?>
<table xmlns="http://schemas.openxmlformats.org/spreadsheetml/2006/main" id="14" name="CodeCaisse12" displayName="CodeCaisse12" ref="B59:G60" insertRow="1" totalsRowShown="0" headerRowDxfId="165" dataDxfId="164">
  <autoFilter ref="B59:G60"/>
  <tableColumns count="6">
    <tableColumn id="1" name="Code caisse" dataDxfId="163"/>
    <tableColumn id="2" name="Référence produit" dataDxfId="162">
      <calculatedColumnFormula>"TAT"&amp;TEXT(ROW(B1),"000")</calculatedColumnFormula>
    </tableColumn>
    <tableColumn id="3" name="Désignation" dataDxfId="161"/>
    <tableColumn id="6" name="Fournisseur" dataDxfId="160"/>
    <tableColumn id="4" name="Marque" dataDxfId="159"/>
    <tableColumn id="5" name="Prix de vente" dataDxfId="158"/>
  </tableColumns>
  <tableStyleInfo name="TableStyleMedium2" showFirstColumn="0" showLastColumn="0" showRowStripes="1" showColumnStripes="0"/>
</table>
</file>

<file path=xl/tables/table13.xml><?xml version="1.0" encoding="utf-8"?>
<table xmlns="http://schemas.openxmlformats.org/spreadsheetml/2006/main" id="15" name="CodeCaisse13" displayName="CodeCaisse13" ref="B62:G63" insertRow="1" totalsRowShown="0" headerRowDxfId="157" dataDxfId="156">
  <autoFilter ref="B62:G63"/>
  <tableColumns count="6">
    <tableColumn id="1" name="Code caisse" dataDxfId="155"/>
    <tableColumn id="2" name="Référence produit" dataDxfId="154">
      <calculatedColumnFormula>"ACT"&amp;TEXT(ROW(B1),"000")</calculatedColumnFormula>
    </tableColumn>
    <tableColumn id="3" name="Désignation" dataDxfId="153"/>
    <tableColumn id="6" name="Fournisseur" dataDxfId="152"/>
    <tableColumn id="4" name="Marque" dataDxfId="151"/>
    <tableColumn id="5" name="Prix de vente" dataDxfId="150"/>
  </tableColumns>
  <tableStyleInfo name="TableStyleMedium2" showFirstColumn="0" showLastColumn="0" showRowStripes="1" showColumnStripes="0"/>
</table>
</file>

<file path=xl/tables/table14.xml><?xml version="1.0" encoding="utf-8"?>
<table xmlns="http://schemas.openxmlformats.org/spreadsheetml/2006/main" id="16" name="CodeCaisse14" displayName="CodeCaisse14" ref="B65:G66" insertRow="1" totalsRowShown="0" headerRowDxfId="149" dataDxfId="148">
  <autoFilter ref="B65:G66"/>
  <tableColumns count="6">
    <tableColumn id="1" name="Code caisse" dataDxfId="147"/>
    <tableColumn id="2" name="Référence produit" dataDxfId="146">
      <calculatedColumnFormula>"CAD"&amp;TEXT(ROW(B1),"000")</calculatedColumnFormula>
    </tableColumn>
    <tableColumn id="3" name="Désignation" dataDxfId="145"/>
    <tableColumn id="6" name="Fournisseur" dataDxfId="144"/>
    <tableColumn id="4" name="Marque" dataDxfId="143"/>
    <tableColumn id="5" name="Prix de vente" dataDxfId="142"/>
  </tableColumns>
  <tableStyleInfo name="TableStyleMedium2" showFirstColumn="0" showLastColumn="0" showRowStripes="1" showColumnStripes="0"/>
</table>
</file>

<file path=xl/tables/table15.xml><?xml version="1.0" encoding="utf-8"?>
<table xmlns="http://schemas.openxmlformats.org/spreadsheetml/2006/main" id="17" name="CodeCaisse15" displayName="CodeCaisse15" ref="B68:G69" insertRow="1" totalsRowShown="0" headerRowDxfId="141" dataDxfId="140">
  <autoFilter ref="B68:G69"/>
  <tableColumns count="6">
    <tableColumn id="1" name="Code caisse" dataDxfId="139"/>
    <tableColumn id="2" name="Référence produit" dataDxfId="138">
      <calculatedColumnFormula>"TEL"&amp;TEXT(ROW(B1),"000")</calculatedColumnFormula>
    </tableColumn>
    <tableColumn id="3" name="Désignation" dataDxfId="137"/>
    <tableColumn id="6" name="Fournisseur" dataDxfId="136"/>
    <tableColumn id="4" name="Marque" dataDxfId="135"/>
    <tableColumn id="5" name="Prix de vente" dataDxfId="134"/>
  </tableColumns>
  <tableStyleInfo name="TableStyleMedium2" showFirstColumn="0" showLastColumn="0" showRowStripes="1" showColumnStripes="0"/>
</table>
</file>

<file path=xl/tables/table16.xml><?xml version="1.0" encoding="utf-8"?>
<table xmlns="http://schemas.openxmlformats.org/spreadsheetml/2006/main" id="18" name="CodeCaisse16" displayName="CodeCaisse16" ref="B71:G72" insertRow="1" totalsRowShown="0" headerRowDxfId="133" dataDxfId="132">
  <autoFilter ref="B71:G72"/>
  <tableColumns count="6">
    <tableColumn id="1" name="Code caisse" dataDxfId="131"/>
    <tableColumn id="2" name="Référence produit" dataDxfId="130">
      <calculatedColumnFormula>"BAG"&amp;TEXT(ROW(B1),"000")</calculatedColumnFormula>
    </tableColumn>
    <tableColumn id="3" name="Désignation" dataDxfId="129"/>
    <tableColumn id="6" name="Fournisseur" dataDxfId="128"/>
    <tableColumn id="4" name="Marque" dataDxfId="127"/>
    <tableColumn id="5" name="Prix de vente" dataDxfId="126"/>
  </tableColumns>
  <tableStyleInfo name="TableStyleMedium2" showFirstColumn="0" showLastColumn="0" showRowStripes="1" showColumnStripes="0"/>
</table>
</file>

<file path=xl/tables/table17.xml><?xml version="1.0" encoding="utf-8"?>
<table xmlns="http://schemas.openxmlformats.org/spreadsheetml/2006/main" id="19" name="CodeCaisse17" displayName="CodeCaisse17" ref="B74:G75" insertRow="1" totalsRowShown="0" headerRowDxfId="125" dataDxfId="124">
  <autoFilter ref="B74:G75"/>
  <tableColumns count="6">
    <tableColumn id="1" name="Code caisse" dataDxfId="123"/>
    <tableColumn id="2" name="Référence produit" dataDxfId="122">
      <calculatedColumnFormula>"ECH"&amp;TEXT(ROW(B1),"000")</calculatedColumnFormula>
    </tableColumn>
    <tableColumn id="3" name="Désignation" dataDxfId="121"/>
    <tableColumn id="6" name="Fournisseur" dataDxfId="120"/>
    <tableColumn id="4" name="Marque" dataDxfId="119"/>
    <tableColumn id="5" name="Prix de vente" dataDxfId="118"/>
  </tableColumns>
  <tableStyleInfo name="TableStyleMedium2" showFirstColumn="0" showLastColumn="0" showRowStripes="1" showColumnStripes="0"/>
</table>
</file>

<file path=xl/tables/table18.xml><?xml version="1.0" encoding="utf-8"?>
<table xmlns="http://schemas.openxmlformats.org/spreadsheetml/2006/main" id="20" name="CodeCaisse18" displayName="CodeCaisse18" ref="B77:G78" insertRow="1" totalsRowShown="0" headerRowDxfId="117" dataDxfId="116">
  <autoFilter ref="B77:G78"/>
  <tableColumns count="6">
    <tableColumn id="1" name="Code caisse" dataDxfId="115"/>
    <tableColumn id="2" name="Référence produit" dataDxfId="114">
      <calculatedColumnFormula>"CAR"&amp;TEXT(ROW(B1),"000")</calculatedColumnFormula>
    </tableColumn>
    <tableColumn id="3" name="Désignation" dataDxfId="113"/>
    <tableColumn id="6" name="Fournisseur" dataDxfId="112"/>
    <tableColumn id="4" name="Marque" dataDxfId="111"/>
    <tableColumn id="5" name="Prix de vente" dataDxfId="110"/>
  </tableColumns>
  <tableStyleInfo name="TableStyleMedium2" showFirstColumn="0" showLastColumn="0" showRowStripes="1" showColumnStripes="0"/>
</table>
</file>

<file path=xl/tables/table19.xml><?xml version="1.0" encoding="utf-8"?>
<table xmlns="http://schemas.openxmlformats.org/spreadsheetml/2006/main" id="21" name="CodeCaisse19" displayName="CodeCaisse19" ref="B80:G81" insertRow="1" totalsRowShown="0" headerRowDxfId="109" dataDxfId="108">
  <autoFilter ref="B80:G81"/>
  <tableColumns count="6">
    <tableColumn id="1" name="Code caisse" dataDxfId="107"/>
    <tableColumn id="2" name="Référence produit" dataDxfId="106">
      <calculatedColumnFormula>"COS"&amp;TEXT(ROW(B1),"000")</calculatedColumnFormula>
    </tableColumn>
    <tableColumn id="3" name="Désignation" dataDxfId="105"/>
    <tableColumn id="6" name="Fournisseur" dataDxfId="104"/>
    <tableColumn id="4" name="Marque" dataDxfId="103"/>
    <tableColumn id="5" name="Prix de vente" dataDxfId="102"/>
  </tableColumns>
  <tableStyleInfo name="TableStyleMedium2" showFirstColumn="0" showLastColumn="0" showRowStripes="1" showColumnStripes="0"/>
</table>
</file>

<file path=xl/tables/table20.xml><?xml version="1.0" encoding="utf-8"?>
<table xmlns="http://schemas.openxmlformats.org/spreadsheetml/2006/main" id="22" name="fournisseurs" displayName="fournisseurs" ref="C16:G23" totalsRowShown="0" headerRowDxfId="101" dataDxfId="100">
  <autoFilter ref="C16:G23"/>
  <tableColumns count="5">
    <tableColumn id="1" name="Référence" dataDxfId="99">
      <calculatedColumnFormula>"FOUR"&amp;TEXT(ROW(C1),"000")</calculatedColumnFormula>
    </tableColumn>
    <tableColumn id="2" name="Désignation" dataDxfId="98"/>
    <tableColumn id="3" name="Adresse site" dataDxfId="97"/>
    <tableColumn id="4" name="Autre contact" dataDxfId="96"/>
    <tableColumn id="5" name="Commentaires" dataDxfId="95"/>
  </tableColumns>
  <tableStyleInfo name="TableStyleMedium2" showFirstColumn="0" showLastColumn="0" showRowStripes="1" showColumnStripes="0"/>
</table>
</file>

<file path=xl/tables/table21.xml><?xml version="1.0" encoding="utf-8"?>
<table xmlns="http://schemas.openxmlformats.org/spreadsheetml/2006/main" id="1" name="achats" displayName="achats" ref="B19:J41" totalsRowShown="0" headerRowDxfId="94" dataDxfId="93">
  <autoFilter ref="B19:J41"/>
  <tableColumns count="9">
    <tableColumn id="1" name="Date" dataDxfId="49"/>
    <tableColumn id="2" name="Code caisse" dataDxfId="92"/>
    <tableColumn id="3" name="Référence produit" dataDxfId="91"/>
    <tableColumn id="4" name="Désignation" dataDxfId="90"/>
    <tableColumn id="9" name="Marque" dataDxfId="89"/>
    <tableColumn id="5" name="Quantité" dataDxfId="88"/>
    <tableColumn id="6" name="Prix d'achat unitaire" dataDxfId="87"/>
    <tableColumn id="7" name="Prix de vente unitaire" dataDxfId="86"/>
    <tableColumn id="8" name="Commentaires" dataDxfId="85"/>
  </tableColumns>
  <tableStyleInfo name="TableStyleMedium2" showFirstColumn="0" showLastColumn="0" showRowStripes="1" showColumnStripes="0"/>
</table>
</file>

<file path=xl/tables/table22.xml><?xml version="1.0" encoding="utf-8"?>
<table xmlns="http://schemas.openxmlformats.org/spreadsheetml/2006/main" id="24" name="ventes" displayName="ventes" ref="B17:M29" totalsRowShown="0" headerRowDxfId="84" dataDxfId="83">
  <autoFilter ref="B17:M29"/>
  <tableColumns count="12">
    <tableColumn id="1" name="Date" dataDxfId="82"/>
    <tableColumn id="10" name="Nature opération" dataDxfId="81"/>
    <tableColumn id="2" name="Code caisse" dataDxfId="80"/>
    <tableColumn id="3" name="Référence produit" dataDxfId="79"/>
    <tableColumn id="4" name="Désignation" dataDxfId="78"/>
    <tableColumn id="12" name="Marque" dataDxfId="77"/>
    <tableColumn id="5" name="Quantité" dataDxfId="76"/>
    <tableColumn id="9" name="Prix de vente unitaire" dataDxfId="75"/>
    <tableColumn id="11" name="Soldes" dataDxfId="74"/>
    <tableColumn id="6" name="Total" dataDxfId="73">
      <calculatedColumnFormula>ventes[Quantité]*ventes[Prix de vente unitaire]</calculatedColumnFormula>
    </tableColumn>
    <tableColumn id="7" name="Mode paiement" dataDxfId="72"/>
    <tableColumn id="8" name="Commentaires" dataDxfId="71"/>
  </tableColumns>
  <tableStyleInfo name="TableStyleMedium2" showFirstColumn="0" showLastColumn="0" showRowStripes="1" showColumnStripes="0"/>
</table>
</file>

<file path=xl/tables/table23.xml><?xml version="1.0" encoding="utf-8"?>
<table xmlns="http://schemas.openxmlformats.org/spreadsheetml/2006/main" id="3" name="Table1" displayName="Table1" ref="A1:D4" totalsRowShown="0" headerRowDxfId="70" dataDxfId="69">
  <autoFilter ref="A1:D4"/>
  <tableColumns count="4">
    <tableColumn id="1" name="Colonne1" dataDxfId="68"/>
    <tableColumn id="2" name="Colonne2" dataDxfId="67"/>
    <tableColumn id="3" name="Colonne3" dataDxfId="66"/>
    <tableColumn id="4" name="Colonne4" dataDxfId="65"/>
  </tableColumns>
  <tableStyleInfo name="TableStyleMedium2" showFirstColumn="0" showLastColumn="0" showRowStripes="1" showColumnStripes="0"/>
</table>
</file>

<file path=xl/tables/table24.xml><?xml version="1.0" encoding="utf-8"?>
<table xmlns="http://schemas.openxmlformats.org/spreadsheetml/2006/main" id="27" name="Tableau27" displayName="Tableau27" ref="B17:I18" totalsRowShown="0" headerRowDxfId="64" dataDxfId="63" tableBorderDxfId="62">
  <autoFilter ref="B17:I18"/>
  <tableColumns count="8">
    <tableColumn id="1" name="Code caisse" dataDxfId="61"/>
    <tableColumn id="2" name="Référence produit" dataDxfId="60"/>
    <tableColumn id="3" name="Désignation" dataDxfId="59"/>
    <tableColumn id="9" name="Marque" dataDxfId="58"/>
    <tableColumn id="4" name="Quantité" dataDxfId="57"/>
    <tableColumn id="10" name="Coût d'achat unitaire (PEPS)" dataDxfId="56"/>
    <tableColumn id="5" name="Coût du stock" dataDxfId="55"/>
    <tableColumn id="6" name="Valeur à la vente" dataDxfId="54"/>
  </tableColumns>
  <tableStyleInfo name="TableStyleMedium2" showFirstColumn="0" showLastColumn="0" showRowStripes="1" showColumnStripes="0"/>
</table>
</file>

<file path=xl/tables/table25.xml><?xml version="1.0" encoding="utf-8"?>
<table xmlns="http://schemas.openxmlformats.org/spreadsheetml/2006/main" id="25" name="FraisExploitation" displayName="FraisExploitation" ref="G29:J41" totalsRowCount="1" headerRowDxfId="36" dataDxfId="34" totalsRowDxfId="35">
  <autoFilter ref="G29:J40"/>
  <sortState ref="G31:K51">
    <sortCondition ref="G16:G37"/>
  </sortState>
  <tableColumns count="4">
    <tableColumn id="1" name="FRAIS D’EXPLOITATION" totalsRowLabel="Total" dataDxfId="39" totalsRowDxfId="3"/>
    <tableColumn id="2" name="ESTIMÉ" totalsRowFunction="sum" dataDxfId="38" totalsRowDxfId="2"/>
    <tableColumn id="3" name="RÉEL" totalsRowFunction="sum" dataDxfId="37" totalsRowDxfId="1"/>
    <tableColumn id="4" name="DIFFÉRENCE" totalsRowFunction="sum" dataDxfId="11" totalsRowDxfId="0">
      <calculatedColumnFormula>FraisExploitation[[#This Row],[ESTIMÉ]]-FraisExploitation[[#This Row],[RÉEL]]</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6.xml><?xml version="1.0" encoding="utf-8"?>
<table xmlns="http://schemas.openxmlformats.org/spreadsheetml/2006/main" id="26" name="Revenus" displayName="Revenus" ref="G16:J23" totalsRowCount="1" headerRowDxfId="30" dataDxfId="28" totalsRowDxfId="29">
  <autoFilter ref="G16:J22"/>
  <tableColumns count="4">
    <tableColumn id="1" name="REVENUS" totalsRowLabel="Total" dataDxfId="33" totalsRowDxfId="7"/>
    <tableColumn id="2" name="ESTIMÉ" totalsRowFunction="sum" dataDxfId="32" totalsRowDxfId="6"/>
    <tableColumn id="3" name="RÉEL" totalsRowFunction="sum" dataDxfId="31" totalsRowDxfId="5"/>
    <tableColumn id="4" name="DIFFÉRENCE" totalsRowFunction="sum" dataDxfId="10" totalsRowDxfId="4">
      <calculatedColumnFormula>Revenus[[#This Row],[RÉEL]]-Revenus[[#This Row],[ESTIMÉ]]</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Revenus" altTextSummary="Liste des sources de revenus pour les valeurs réelles et estimées avec la différence calculée."/>
    </ext>
  </extLst>
</table>
</file>

<file path=xl/tables/table27.xml><?xml version="1.0" encoding="utf-8"?>
<table xmlns="http://schemas.openxmlformats.org/spreadsheetml/2006/main" id="28" name="TableauTotaux" displayName="TableauTotaux" ref="B16:E19" totalsRowCount="1">
  <autoFilter ref="B16:E18"/>
  <tableColumns count="4">
    <tableColumn id="1" name="TOTAUX DU BUDGET" totalsRowLabel="Solde (revenus moins dépenses)" dataDxfId="21" totalsRowDxfId="43"/>
    <tableColumn id="2" name="ESTIMÉ" totalsRowFunction="custom" dataDxfId="20" totalsRowDxfId="42">
      <totalsRowFormula>C17-C18</totalsRowFormula>
    </tableColumn>
    <tableColumn id="3" name="RÉEL" totalsRowFunction="custom" dataDxfId="19" totalsRowDxfId="41">
      <totalsRowFormula>D17-D18</totalsRowFormula>
    </tableColumn>
    <tableColumn id="4" name="DIFFÉRENCE" totalsRowFunction="sum" dataDxfId="18" totalsRowDxfId="40">
      <calculatedColumnFormula>TableauTotaux[[#This Row],[RÉEL]]-TableauTotaux[[#This Row],[ESTIMÉ]]</calculatedColumnFormula>
    </tableColumn>
  </tableColumns>
  <tableStyleInfo name="Monthly Budget"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28.xml><?xml version="1.0" encoding="utf-8"?>
<table xmlns="http://schemas.openxmlformats.org/spreadsheetml/2006/main" id="30" name="DépensesPersonnelles" displayName="DépensesPersonnelles" ref="G25:J27" totalsRowCount="1" headerRowDxfId="24" dataDxfId="22" totalsRowDxfId="23">
  <autoFilter ref="G25:J26"/>
  <tableColumns count="4">
    <tableColumn id="1" name="CHARGES DE PERSONNEL" totalsRowLabel="Personnel total" dataDxfId="27" totalsRowDxfId="14"/>
    <tableColumn id="2" name="ESTIMÉ" totalsRowFunction="sum" dataDxfId="26" totalsRowDxfId="13"/>
    <tableColumn id="3" name="RÉEL" totalsRowFunction="sum" dataDxfId="25" totalsRowDxfId="12"/>
    <tableColumn id="5" name="DIFFÉRENCE" totalsRowFunction="sum" dataDxfId="9" totalsRowDxfId="8">
      <calculatedColumnFormula>DépensesPersonnelles[[#This Row],[ESTIMÉ]]-DépensesPersonnelles[[#This Row],[RÉEL]]</calculatedColumnFormula>
    </tableColumn>
  </tableColumns>
  <tableStyleInfo name="Monthly Budget" showFirstColumn="0" showLastColumn="0" showRowStripes="0" showColumnStripes="0"/>
  <extLst>
    <ext xmlns:x14="http://schemas.microsoft.com/office/spreadsheetml/2009/9/main" uri="{504A1905-F514-4f6f-8877-14C23A59335A}">
      <x14:table altText="Tableau Dépenses personnelles" altTextSummary="Liste des dépenses personnelles pour les valeurs réelles et estimées avec la différence calculée."/>
    </ext>
  </extLst>
</table>
</file>

<file path=xl/tables/table29.xml><?xml version="1.0" encoding="utf-8"?>
<table xmlns="http://schemas.openxmlformats.org/spreadsheetml/2006/main" id="23" name="Tableau23" displayName="Tableau23" ref="B11:D26" totalsRowShown="0" headerRowDxfId="53">
  <autoFilter ref="B11:D26"/>
  <tableColumns count="3">
    <tableColumn id="4" name="Nombre" dataDxfId="52"/>
    <tableColumn id="1" name="€" dataDxfId="51"/>
    <tableColumn id="2" name="Total" dataDxfId="50">
      <calculatedColumnFormula>Tableau23[[#This Row],[Nombre]]*Tableau23[[#This Row],[€]]</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1F497D"/>
      </a:dk2>
      <a:lt2>
        <a:srgbClr val="EEECE1"/>
      </a:lt2>
      <a:accent1>
        <a:srgbClr val="5F0060"/>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2.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drawing" Target="../drawings/drawing9.xml"/><Relationship Id="rId5" Type="http://schemas.openxmlformats.org/officeDocument/2006/relationships/table" Target="../tables/table28.xml"/><Relationship Id="rId4" Type="http://schemas.openxmlformats.org/officeDocument/2006/relationships/table" Target="../tables/table2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J5"/>
  <sheetViews>
    <sheetView showGridLines="0" workbookViewId="0"/>
  </sheetViews>
  <sheetFormatPr baseColWidth="10" defaultRowHeight="15" x14ac:dyDescent="0.25"/>
  <sheetData>
    <row r="5" spans="10:10" ht="23.25" x14ac:dyDescent="0.35">
      <c r="J5" s="2" t="s">
        <v>32</v>
      </c>
    </row>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7:G80"/>
  <sheetViews>
    <sheetView showGridLines="0" topLeftCell="A2" workbookViewId="0">
      <selection activeCell="A16" sqref="A16"/>
    </sheetView>
  </sheetViews>
  <sheetFormatPr baseColWidth="10" defaultRowHeight="15" x14ac:dyDescent="0.25"/>
  <cols>
    <col min="1" max="1" width="11.42578125" style="7"/>
    <col min="2" max="2" width="21" style="31" bestFit="1" customWidth="1"/>
    <col min="3" max="3" width="22.5703125" style="7" customWidth="1"/>
    <col min="4" max="4" width="34.42578125" style="4" customWidth="1"/>
    <col min="5" max="5" width="15" style="7" bestFit="1" customWidth="1"/>
    <col min="6" max="6" width="18.5703125" style="7" customWidth="1"/>
    <col min="7" max="7" width="15" style="25" bestFit="1" customWidth="1"/>
    <col min="8" max="8" width="11.5703125" style="7" customWidth="1"/>
    <col min="9" max="10" width="12.5703125" style="7" customWidth="1"/>
    <col min="11" max="16384" width="11.42578125" style="7"/>
  </cols>
  <sheetData>
    <row r="7" spans="2:7" ht="23.25" x14ac:dyDescent="0.35">
      <c r="E7" s="41" t="s">
        <v>36</v>
      </c>
      <c r="F7" s="41"/>
      <c r="G7" s="26"/>
    </row>
    <row r="8" spans="2:7" ht="23.25" x14ac:dyDescent="0.35">
      <c r="E8" s="6"/>
    </row>
    <row r="9" spans="2:7" ht="23.25" x14ac:dyDescent="0.35">
      <c r="E9" s="6"/>
    </row>
    <row r="10" spans="2:7" ht="23.25" x14ac:dyDescent="0.35">
      <c r="E10" s="6"/>
    </row>
    <row r="11" spans="2:7" ht="23.25" x14ac:dyDescent="0.35">
      <c r="E11" s="6"/>
    </row>
    <row r="14" spans="2:7" x14ac:dyDescent="0.25">
      <c r="B14" s="32" t="str">
        <f>'Code caisse'!$B$3</f>
        <v>Bonbons</v>
      </c>
      <c r="C14" s="33" t="str">
        <f xml:space="preserve"> "Code caisse :"</f>
        <v>Code caisse :</v>
      </c>
      <c r="D14" s="5">
        <f>'Code caisse'!$A$3</f>
        <v>1</v>
      </c>
    </row>
    <row r="15" spans="2:7" x14ac:dyDescent="0.25">
      <c r="B15" s="31" t="s">
        <v>11</v>
      </c>
      <c r="C15" s="7" t="s">
        <v>0</v>
      </c>
      <c r="D15" s="4" t="s">
        <v>1</v>
      </c>
      <c r="E15" s="7" t="s">
        <v>5</v>
      </c>
      <c r="F15" s="7" t="s">
        <v>10</v>
      </c>
      <c r="G15" s="25" t="s">
        <v>2</v>
      </c>
    </row>
    <row r="16" spans="2:7" x14ac:dyDescent="0.25">
      <c r="B16" s="31">
        <v>1</v>
      </c>
      <c r="C16" s="7" t="str">
        <f t="shared" ref="C16:C21" si="0">"BON"&amp;TEXT(ROW(B1),"000")</f>
        <v>BON001</v>
      </c>
      <c r="D16" s="4" t="s">
        <v>188</v>
      </c>
      <c r="E16" s="7" t="s">
        <v>99</v>
      </c>
      <c r="F16" s="7" t="s">
        <v>49</v>
      </c>
      <c r="G16" s="25">
        <v>12</v>
      </c>
    </row>
    <row r="17" spans="2:7" x14ac:dyDescent="0.25">
      <c r="B17" s="31">
        <v>1</v>
      </c>
      <c r="C17" s="7" t="str">
        <f t="shared" si="0"/>
        <v>BON002</v>
      </c>
      <c r="D17" s="4" t="s">
        <v>53</v>
      </c>
      <c r="E17" s="7" t="s">
        <v>54</v>
      </c>
      <c r="F17" s="7" t="s">
        <v>55</v>
      </c>
      <c r="G17" s="25">
        <v>14</v>
      </c>
    </row>
    <row r="18" spans="2:7" x14ac:dyDescent="0.25">
      <c r="B18" s="31">
        <v>1</v>
      </c>
      <c r="C18" s="7" t="str">
        <f t="shared" si="0"/>
        <v>BON003</v>
      </c>
      <c r="D18" s="4" t="s">
        <v>69</v>
      </c>
      <c r="E18" s="7" t="s">
        <v>70</v>
      </c>
      <c r="F18" s="7" t="s">
        <v>71</v>
      </c>
      <c r="G18" s="25">
        <v>12</v>
      </c>
    </row>
    <row r="19" spans="2:7" x14ac:dyDescent="0.25">
      <c r="B19" s="31">
        <v>1</v>
      </c>
      <c r="C19" s="7" t="str">
        <f t="shared" si="0"/>
        <v>BON004</v>
      </c>
      <c r="D19" s="4" t="s">
        <v>93</v>
      </c>
      <c r="F19" s="7" t="s">
        <v>94</v>
      </c>
      <c r="G19" s="25">
        <v>12</v>
      </c>
    </row>
    <row r="20" spans="2:7" x14ac:dyDescent="0.25">
      <c r="B20" s="31">
        <v>1</v>
      </c>
      <c r="C20" s="7" t="str">
        <f t="shared" si="0"/>
        <v>BON005</v>
      </c>
      <c r="D20" s="4" t="s">
        <v>49</v>
      </c>
      <c r="E20" s="7" t="s">
        <v>51</v>
      </c>
      <c r="F20" s="7" t="s">
        <v>115</v>
      </c>
      <c r="G20" s="25">
        <v>2</v>
      </c>
    </row>
    <row r="21" spans="2:7" x14ac:dyDescent="0.25">
      <c r="B21" s="31">
        <v>1</v>
      </c>
      <c r="C21" s="7" t="str">
        <f t="shared" si="0"/>
        <v>BON006</v>
      </c>
      <c r="D21" s="4" t="s">
        <v>119</v>
      </c>
      <c r="E21" s="7" t="s">
        <v>50</v>
      </c>
      <c r="F21" s="7" t="s">
        <v>120</v>
      </c>
      <c r="G21" s="25" t="s">
        <v>121</v>
      </c>
    </row>
    <row r="22" spans="2:7" x14ac:dyDescent="0.25">
      <c r="B22" s="31">
        <v>1</v>
      </c>
      <c r="C22" s="7" t="str">
        <f>"BON"&amp;TEXT(ROW(B7),"000")</f>
        <v>BON007</v>
      </c>
      <c r="D22" s="4" t="s">
        <v>144</v>
      </c>
      <c r="E22" s="7" t="s">
        <v>51</v>
      </c>
      <c r="G22" s="25">
        <v>1</v>
      </c>
    </row>
    <row r="23" spans="2:7" x14ac:dyDescent="0.25">
      <c r="B23" s="32" t="str">
        <f>'Code caisse'!$B$4</f>
        <v>Boucles d'oreilles</v>
      </c>
      <c r="C23" s="33" t="str">
        <f xml:space="preserve"> "Code caisse :"</f>
        <v>Code caisse :</v>
      </c>
      <c r="D23" s="5">
        <f>'Code caisse'!$A$4</f>
        <v>2</v>
      </c>
    </row>
    <row r="24" spans="2:7" x14ac:dyDescent="0.25">
      <c r="B24" s="31" t="s">
        <v>11</v>
      </c>
      <c r="C24" s="7" t="s">
        <v>0</v>
      </c>
      <c r="D24" s="4" t="s">
        <v>1</v>
      </c>
      <c r="E24" s="7" t="s">
        <v>5</v>
      </c>
      <c r="F24" s="7" t="s">
        <v>10</v>
      </c>
      <c r="G24" s="25" t="s">
        <v>2</v>
      </c>
    </row>
    <row r="25" spans="2:7" x14ac:dyDescent="0.25">
      <c r="B25" s="31">
        <v>2</v>
      </c>
      <c r="C25" s="4" t="str">
        <f>"BOU"&amp;TEXT(ROW(B1),"000")</f>
        <v>BOU001</v>
      </c>
      <c r="D25" s="4" t="s">
        <v>50</v>
      </c>
      <c r="E25" s="7" t="s">
        <v>50</v>
      </c>
      <c r="F25" s="7" t="s">
        <v>50</v>
      </c>
      <c r="G25" s="25" t="s">
        <v>50</v>
      </c>
    </row>
    <row r="26" spans="2:7" x14ac:dyDescent="0.25">
      <c r="B26" s="31">
        <v>2</v>
      </c>
      <c r="C26" s="4" t="str">
        <f>"BOU"&amp;TEXT(ROW(B2),"000")</f>
        <v>BOU002</v>
      </c>
      <c r="D26" s="4" t="s">
        <v>95</v>
      </c>
      <c r="F26" s="7" t="s">
        <v>96</v>
      </c>
      <c r="G26" s="25">
        <v>12</v>
      </c>
    </row>
    <row r="27" spans="2:7" x14ac:dyDescent="0.25">
      <c r="B27" s="31">
        <v>2</v>
      </c>
      <c r="C27" s="4" t="str">
        <f>"BOU"&amp;TEXT(ROW(B3),"000")</f>
        <v>BOU003</v>
      </c>
      <c r="D27" s="4" t="s">
        <v>122</v>
      </c>
      <c r="E27" s="7" t="s">
        <v>51</v>
      </c>
      <c r="F27" s="7" t="s">
        <v>123</v>
      </c>
      <c r="G27" s="25" t="s">
        <v>121</v>
      </c>
    </row>
    <row r="28" spans="2:7" x14ac:dyDescent="0.25">
      <c r="B28" s="31">
        <v>2</v>
      </c>
      <c r="C28" s="4" t="str">
        <f>"BOU"&amp;TEXT(ROW(B4),"000")</f>
        <v>BOU004</v>
      </c>
      <c r="D28" s="4" t="s">
        <v>124</v>
      </c>
      <c r="E28" s="7" t="s">
        <v>49</v>
      </c>
      <c r="F28" s="7" t="s">
        <v>125</v>
      </c>
      <c r="G28" s="25">
        <v>2.2999999999999998</v>
      </c>
    </row>
    <row r="29" spans="2:7" x14ac:dyDescent="0.25">
      <c r="B29" s="32" t="str">
        <f>'Code caisse'!$B$5</f>
        <v>Colliers</v>
      </c>
      <c r="C29" s="33" t="str">
        <f xml:space="preserve"> "Code caisse :"</f>
        <v>Code caisse :</v>
      </c>
      <c r="D29" s="5">
        <f>'Code caisse'!$A$5</f>
        <v>3</v>
      </c>
    </row>
    <row r="30" spans="2:7" x14ac:dyDescent="0.25">
      <c r="B30" s="31" t="s">
        <v>11</v>
      </c>
      <c r="C30" s="7" t="s">
        <v>0</v>
      </c>
      <c r="D30" s="4" t="s">
        <v>1</v>
      </c>
      <c r="E30" s="7" t="s">
        <v>5</v>
      </c>
      <c r="F30" s="7" t="s">
        <v>10</v>
      </c>
      <c r="G30" s="25" t="s">
        <v>2</v>
      </c>
    </row>
    <row r="31" spans="2:7" x14ac:dyDescent="0.25">
      <c r="B31" s="31">
        <v>3</v>
      </c>
      <c r="C31" s="4" t="str">
        <f>"COL"&amp;TEXT(ROW(B1),"000")</f>
        <v>COL001</v>
      </c>
      <c r="D31" s="4" t="s">
        <v>135</v>
      </c>
      <c r="E31" s="7" t="s">
        <v>47</v>
      </c>
      <c r="F31" s="7" t="s">
        <v>48</v>
      </c>
      <c r="G31" s="25" t="s">
        <v>47</v>
      </c>
    </row>
    <row r="32" spans="2:7" x14ac:dyDescent="0.25">
      <c r="B32" s="31">
        <v>3</v>
      </c>
      <c r="C32" s="4" t="str">
        <f>"COL"&amp;TEXT(ROW(B2),"000")</f>
        <v>COL002</v>
      </c>
      <c r="D32" s="4" t="s">
        <v>97</v>
      </c>
      <c r="E32" s="7" t="s">
        <v>51</v>
      </c>
      <c r="F32" s="7" t="s">
        <v>98</v>
      </c>
      <c r="G32" s="25">
        <v>3</v>
      </c>
    </row>
    <row r="33" spans="2:7" x14ac:dyDescent="0.25">
      <c r="B33" s="31">
        <v>3</v>
      </c>
      <c r="C33" s="4" t="str">
        <f>"COL"&amp;TEXT(ROW(B3),"000")</f>
        <v>COL003</v>
      </c>
      <c r="D33" s="4" t="s">
        <v>136</v>
      </c>
      <c r="E33" s="7" t="s">
        <v>99</v>
      </c>
      <c r="F33" s="7" t="s">
        <v>137</v>
      </c>
      <c r="G33" s="25">
        <v>1.2</v>
      </c>
    </row>
    <row r="34" spans="2:7" x14ac:dyDescent="0.25">
      <c r="B34" s="32" t="str">
        <f>'Code caisse'!$B$6</f>
        <v>Parrures</v>
      </c>
      <c r="C34" s="33" t="str">
        <f xml:space="preserve"> "Code caisse :"</f>
        <v>Code caisse :</v>
      </c>
      <c r="D34" s="5">
        <f>'Code caisse'!$A$6</f>
        <v>4</v>
      </c>
    </row>
    <row r="35" spans="2:7" x14ac:dyDescent="0.25">
      <c r="B35" s="31" t="s">
        <v>11</v>
      </c>
      <c r="C35" s="7" t="s">
        <v>0</v>
      </c>
      <c r="D35" s="4" t="s">
        <v>1</v>
      </c>
      <c r="E35" s="7" t="s">
        <v>5</v>
      </c>
      <c r="F35" s="7" t="s">
        <v>10</v>
      </c>
      <c r="G35" s="25" t="s">
        <v>2</v>
      </c>
    </row>
    <row r="36" spans="2:7" x14ac:dyDescent="0.25">
      <c r="C36" s="4"/>
    </row>
    <row r="37" spans="2:7" x14ac:dyDescent="0.25">
      <c r="B37" s="32" t="str">
        <f>'Code caisse'!$B$7</f>
        <v>Bracelets</v>
      </c>
      <c r="C37" s="33" t="str">
        <f xml:space="preserve"> "Code caisse :"</f>
        <v>Code caisse :</v>
      </c>
      <c r="D37" s="5">
        <f>'Code caisse'!$A$7</f>
        <v>5</v>
      </c>
    </row>
    <row r="38" spans="2:7" x14ac:dyDescent="0.25">
      <c r="B38" s="31" t="s">
        <v>11</v>
      </c>
      <c r="C38" s="7" t="s">
        <v>0</v>
      </c>
      <c r="D38" s="4" t="s">
        <v>1</v>
      </c>
      <c r="E38" s="7" t="s">
        <v>5</v>
      </c>
      <c r="F38" s="7" t="s">
        <v>10</v>
      </c>
      <c r="G38" s="25" t="s">
        <v>2</v>
      </c>
    </row>
    <row r="40" spans="2:7" x14ac:dyDescent="0.25">
      <c r="B40" s="32" t="str">
        <f>'Code caisse'!$B$8</f>
        <v>Clous d'oreilles</v>
      </c>
      <c r="C40" s="33" t="str">
        <f xml:space="preserve"> "Code caisse :"</f>
        <v>Code caisse :</v>
      </c>
      <c r="D40" s="5">
        <f>'Code caisse'!$A$8</f>
        <v>6</v>
      </c>
    </row>
    <row r="41" spans="2:7" x14ac:dyDescent="0.25">
      <c r="B41" s="31" t="s">
        <v>11</v>
      </c>
      <c r="C41" s="7" t="s">
        <v>0</v>
      </c>
      <c r="D41" s="4" t="s">
        <v>1</v>
      </c>
      <c r="E41" s="7" t="s">
        <v>5</v>
      </c>
      <c r="F41" s="7" t="s">
        <v>10</v>
      </c>
      <c r="G41" s="25" t="s">
        <v>2</v>
      </c>
    </row>
    <row r="43" spans="2:7" x14ac:dyDescent="0.25">
      <c r="B43" s="32" t="str">
        <f>'Code caisse'!$B$9</f>
        <v>Piercings</v>
      </c>
      <c r="C43" s="33" t="str">
        <f xml:space="preserve"> "Code caisse :"</f>
        <v>Code caisse :</v>
      </c>
      <c r="D43" s="5">
        <f>'Code caisse'!$A$9</f>
        <v>7</v>
      </c>
    </row>
    <row r="44" spans="2:7" x14ac:dyDescent="0.25">
      <c r="B44" s="31" t="s">
        <v>11</v>
      </c>
      <c r="C44" s="7" t="s">
        <v>0</v>
      </c>
      <c r="D44" s="4" t="s">
        <v>1</v>
      </c>
      <c r="E44" s="7" t="s">
        <v>5</v>
      </c>
      <c r="F44" s="7" t="s">
        <v>10</v>
      </c>
      <c r="G44" s="25" t="s">
        <v>2</v>
      </c>
    </row>
    <row r="46" spans="2:7" x14ac:dyDescent="0.25">
      <c r="B46" s="32" t="str">
        <f>'Code caisse'!$B$10</f>
        <v>Chainettes chevilles</v>
      </c>
      <c r="C46" s="33" t="str">
        <f xml:space="preserve"> "Code caisse :"</f>
        <v>Code caisse :</v>
      </c>
      <c r="D46" s="5">
        <f>'Code caisse'!$A$10</f>
        <v>8</v>
      </c>
    </row>
    <row r="47" spans="2:7" x14ac:dyDescent="0.25">
      <c r="B47" s="31" t="s">
        <v>11</v>
      </c>
      <c r="C47" s="7" t="s">
        <v>0</v>
      </c>
      <c r="D47" s="4" t="s">
        <v>1</v>
      </c>
      <c r="E47" s="7" t="s">
        <v>5</v>
      </c>
      <c r="F47" s="7" t="s">
        <v>10</v>
      </c>
      <c r="G47" s="25" t="s">
        <v>2</v>
      </c>
    </row>
    <row r="49" spans="2:7" x14ac:dyDescent="0.25">
      <c r="B49" s="32" t="str">
        <f>'Code caisse'!$B$11</f>
        <v>Bijoux de sac</v>
      </c>
      <c r="C49" s="33" t="str">
        <f xml:space="preserve"> "Code caisse :"</f>
        <v>Code caisse :</v>
      </c>
      <c r="D49" s="5">
        <f>'Code caisse'!$A$11</f>
        <v>9</v>
      </c>
    </row>
    <row r="50" spans="2:7" x14ac:dyDescent="0.25">
      <c r="B50" s="31" t="s">
        <v>11</v>
      </c>
      <c r="C50" s="7" t="s">
        <v>0</v>
      </c>
      <c r="D50" s="4" t="s">
        <v>1</v>
      </c>
      <c r="E50" s="7" t="s">
        <v>5</v>
      </c>
      <c r="F50" s="7" t="s">
        <v>10</v>
      </c>
      <c r="G50" s="25" t="s">
        <v>2</v>
      </c>
    </row>
    <row r="52" spans="2:7" x14ac:dyDescent="0.25">
      <c r="B52" s="32" t="str">
        <f>'Code caisse'!$B$12</f>
        <v>Vernis</v>
      </c>
      <c r="C52" s="33" t="str">
        <f xml:space="preserve"> "Code caisse :"</f>
        <v>Code caisse :</v>
      </c>
      <c r="D52" s="5">
        <f>'Code caisse'!$A$12</f>
        <v>10</v>
      </c>
    </row>
    <row r="53" spans="2:7" x14ac:dyDescent="0.25">
      <c r="B53" s="31" t="s">
        <v>11</v>
      </c>
      <c r="C53" s="7" t="s">
        <v>0</v>
      </c>
      <c r="D53" s="4" t="s">
        <v>1</v>
      </c>
      <c r="E53" s="7" t="s">
        <v>5</v>
      </c>
      <c r="F53" s="7" t="s">
        <v>10</v>
      </c>
      <c r="G53" s="25" t="s">
        <v>2</v>
      </c>
    </row>
    <row r="55" spans="2:7" x14ac:dyDescent="0.25">
      <c r="B55" s="32" t="str">
        <f>'Code caisse'!$B$13</f>
        <v>Accessoires Ongles</v>
      </c>
      <c r="C55" s="33" t="str">
        <f xml:space="preserve"> "Code caisse :"</f>
        <v>Code caisse :</v>
      </c>
      <c r="D55" s="5">
        <f>'Code caisse'!$A$13</f>
        <v>11</v>
      </c>
    </row>
    <row r="56" spans="2:7" x14ac:dyDescent="0.25">
      <c r="B56" s="31" t="s">
        <v>11</v>
      </c>
      <c r="C56" s="7" t="s">
        <v>0</v>
      </c>
      <c r="D56" s="4" t="s">
        <v>1</v>
      </c>
      <c r="E56" s="7" t="s">
        <v>5</v>
      </c>
      <c r="F56" s="7" t="s">
        <v>10</v>
      </c>
      <c r="G56" s="25" t="s">
        <v>2</v>
      </c>
    </row>
    <row r="58" spans="2:7" x14ac:dyDescent="0.25">
      <c r="B58" s="32" t="str">
        <f>'Code caisse'!$B$14</f>
        <v xml:space="preserve">Tatoos </v>
      </c>
      <c r="C58" s="33" t="str">
        <f xml:space="preserve"> "Code caisse :"</f>
        <v>Code caisse :</v>
      </c>
      <c r="D58" s="5">
        <f>'Code caisse'!$A$14</f>
        <v>12</v>
      </c>
    </row>
    <row r="59" spans="2:7" x14ac:dyDescent="0.25">
      <c r="B59" s="31" t="s">
        <v>11</v>
      </c>
      <c r="C59" s="7" t="s">
        <v>0</v>
      </c>
      <c r="D59" s="4" t="s">
        <v>1</v>
      </c>
      <c r="E59" s="7" t="s">
        <v>5</v>
      </c>
      <c r="F59" s="7" t="s">
        <v>10</v>
      </c>
      <c r="G59" s="25" t="s">
        <v>2</v>
      </c>
    </row>
    <row r="61" spans="2:7" x14ac:dyDescent="0.25">
      <c r="B61" s="32" t="str">
        <f>'Code caisse'!$B$15</f>
        <v>Accessoires Tatoos</v>
      </c>
      <c r="C61" s="33" t="str">
        <f xml:space="preserve"> "Code caisse :"</f>
        <v>Code caisse :</v>
      </c>
      <c r="D61" s="5">
        <f>'Code caisse'!$A$15</f>
        <v>13</v>
      </c>
    </row>
    <row r="62" spans="2:7" x14ac:dyDescent="0.25">
      <c r="B62" s="31" t="s">
        <v>11</v>
      </c>
      <c r="C62" s="7" t="s">
        <v>0</v>
      </c>
      <c r="D62" s="4" t="s">
        <v>1</v>
      </c>
      <c r="E62" s="7" t="s">
        <v>5</v>
      </c>
      <c r="F62" s="7" t="s">
        <v>10</v>
      </c>
      <c r="G62" s="25" t="s">
        <v>2</v>
      </c>
    </row>
    <row r="64" spans="2:7" x14ac:dyDescent="0.25">
      <c r="B64" s="32" t="str">
        <f>'Code caisse'!$B$16</f>
        <v>Cadeaux</v>
      </c>
      <c r="C64" s="33" t="str">
        <f xml:space="preserve"> "Code caisse :"</f>
        <v>Code caisse :</v>
      </c>
      <c r="D64" s="5">
        <f>'Code caisse'!$A$16</f>
        <v>14</v>
      </c>
    </row>
    <row r="65" spans="2:7" x14ac:dyDescent="0.25">
      <c r="B65" s="31" t="s">
        <v>11</v>
      </c>
      <c r="C65" s="7" t="s">
        <v>0</v>
      </c>
      <c r="D65" s="4" t="s">
        <v>1</v>
      </c>
      <c r="E65" s="7" t="s">
        <v>5</v>
      </c>
      <c r="F65" s="7" t="s">
        <v>10</v>
      </c>
      <c r="G65" s="25" t="s">
        <v>2</v>
      </c>
    </row>
    <row r="67" spans="2:7" x14ac:dyDescent="0.25">
      <c r="B67" s="32" t="str">
        <f>'Code caisse'!$B$17</f>
        <v>Coques de téléphones</v>
      </c>
      <c r="C67" s="33" t="str">
        <f xml:space="preserve"> "Code caisse :"</f>
        <v>Code caisse :</v>
      </c>
      <c r="D67" s="5">
        <f>'Code caisse'!$A$17</f>
        <v>15</v>
      </c>
    </row>
    <row r="68" spans="2:7" x14ac:dyDescent="0.25">
      <c r="B68" s="31" t="s">
        <v>11</v>
      </c>
      <c r="C68" s="7" t="s">
        <v>0</v>
      </c>
      <c r="D68" s="4" t="s">
        <v>1</v>
      </c>
      <c r="E68" s="7" t="s">
        <v>5</v>
      </c>
      <c r="F68" s="7" t="s">
        <v>10</v>
      </c>
      <c r="G68" s="25" t="s">
        <v>2</v>
      </c>
    </row>
    <row r="70" spans="2:7" x14ac:dyDescent="0.25">
      <c r="B70" s="32" t="str">
        <f>'Code caisse'!$B$18</f>
        <v>Bagues</v>
      </c>
      <c r="C70" s="33" t="str">
        <f xml:space="preserve"> "Code caisse :"</f>
        <v>Code caisse :</v>
      </c>
      <c r="D70" s="5">
        <f>'Code caisse'!$A$18</f>
        <v>16</v>
      </c>
    </row>
    <row r="71" spans="2:7" x14ac:dyDescent="0.25">
      <c r="B71" s="31" t="s">
        <v>11</v>
      </c>
      <c r="C71" s="7" t="s">
        <v>0</v>
      </c>
      <c r="D71" s="4" t="s">
        <v>1</v>
      </c>
      <c r="E71" s="7" t="s">
        <v>5</v>
      </c>
      <c r="F71" s="7" t="s">
        <v>10</v>
      </c>
      <c r="G71" s="25" t="s">
        <v>2</v>
      </c>
    </row>
    <row r="73" spans="2:7" x14ac:dyDescent="0.25">
      <c r="B73" s="32" t="str">
        <f>'Code caisse'!$B$19</f>
        <v>Echarpes bijoux</v>
      </c>
      <c r="C73" s="33" t="str">
        <f xml:space="preserve"> "Code caisse :"</f>
        <v>Code caisse :</v>
      </c>
      <c r="D73" s="5">
        <f>'Code caisse'!$A$19</f>
        <v>17</v>
      </c>
    </row>
    <row r="74" spans="2:7" x14ac:dyDescent="0.25">
      <c r="B74" s="31" t="s">
        <v>11</v>
      </c>
      <c r="C74" s="7" t="s">
        <v>0</v>
      </c>
      <c r="D74" s="4" t="s">
        <v>1</v>
      </c>
      <c r="E74" s="7" t="s">
        <v>5</v>
      </c>
      <c r="F74" s="7" t="s">
        <v>10</v>
      </c>
      <c r="G74" s="25" t="s">
        <v>2</v>
      </c>
    </row>
    <row r="76" spans="2:7" x14ac:dyDescent="0.25">
      <c r="B76" s="32" t="str">
        <f>'Code caisse'!$B$20</f>
        <v>Cartes cadeaux</v>
      </c>
      <c r="C76" s="33" t="str">
        <f xml:space="preserve"> "Code caisse :"</f>
        <v>Code caisse :</v>
      </c>
      <c r="D76" s="5">
        <f>'Code caisse'!$A$20</f>
        <v>18</v>
      </c>
    </row>
    <row r="77" spans="2:7" x14ac:dyDescent="0.25">
      <c r="B77" s="31" t="s">
        <v>11</v>
      </c>
      <c r="C77" s="7" t="s">
        <v>0</v>
      </c>
      <c r="D77" s="4" t="s">
        <v>1</v>
      </c>
      <c r="E77" s="7" t="s">
        <v>5</v>
      </c>
      <c r="F77" s="7" t="s">
        <v>10</v>
      </c>
      <c r="G77" s="25" t="s">
        <v>2</v>
      </c>
    </row>
    <row r="79" spans="2:7" x14ac:dyDescent="0.25">
      <c r="B79" s="32" t="str">
        <f>'Code caisse'!$B$21</f>
        <v>Cosmétiques</v>
      </c>
      <c r="C79" s="33" t="str">
        <f xml:space="preserve"> "Code caisse :"</f>
        <v>Code caisse :</v>
      </c>
      <c r="D79" s="5">
        <f>'Code caisse'!$A$21</f>
        <v>19</v>
      </c>
    </row>
    <row r="80" spans="2:7" x14ac:dyDescent="0.25">
      <c r="B80" s="31" t="s">
        <v>11</v>
      </c>
      <c r="C80" s="7" t="s">
        <v>0</v>
      </c>
      <c r="D80" s="4" t="s">
        <v>1</v>
      </c>
      <c r="E80" s="7" t="s">
        <v>5</v>
      </c>
      <c r="F80" s="7" t="s">
        <v>10</v>
      </c>
      <c r="G80" s="25" t="s">
        <v>2</v>
      </c>
    </row>
  </sheetData>
  <mergeCells count="1">
    <mergeCell ref="E7:F7"/>
  </mergeCells>
  <pageMargins left="0.7" right="0.7" top="0.75" bottom="0.75" header="0.3" footer="0.3"/>
  <pageSetup paperSize="9" orientation="portrait"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1:G23"/>
  <sheetViews>
    <sheetView showGridLines="0" workbookViewId="0">
      <selection activeCell="A17" sqref="A17"/>
    </sheetView>
  </sheetViews>
  <sheetFormatPr baseColWidth="10" defaultRowHeight="15" x14ac:dyDescent="0.25"/>
  <cols>
    <col min="1" max="2" width="11.42578125" style="7"/>
    <col min="3" max="3" width="12.7109375" style="7" customWidth="1"/>
    <col min="4" max="4" width="25.85546875" style="7" customWidth="1"/>
    <col min="5" max="5" width="35" style="7" customWidth="1"/>
    <col min="6" max="6" width="27.5703125" style="7" customWidth="1"/>
    <col min="7" max="7" width="32.140625" style="7" customWidth="1"/>
    <col min="8" max="10" width="11.5703125" style="7" customWidth="1"/>
    <col min="11" max="16384" width="11.42578125" style="7"/>
  </cols>
  <sheetData>
    <row r="1" spans="3:7" x14ac:dyDescent="0.25">
      <c r="D1" s="7" t="s">
        <v>149</v>
      </c>
      <c r="E1" s="7" t="s">
        <v>150</v>
      </c>
      <c r="F1" s="7" t="s">
        <v>149</v>
      </c>
    </row>
    <row r="8" spans="3:7" ht="23.25" x14ac:dyDescent="0.25">
      <c r="F8" s="35" t="s">
        <v>33</v>
      </c>
      <c r="G8" s="35"/>
    </row>
    <row r="16" spans="3:7" x14ac:dyDescent="0.25">
      <c r="C16" s="7" t="s">
        <v>7</v>
      </c>
      <c r="D16" s="7" t="s">
        <v>1</v>
      </c>
      <c r="E16" s="7" t="s">
        <v>34</v>
      </c>
      <c r="F16" s="7" t="s">
        <v>35</v>
      </c>
      <c r="G16" s="7" t="s">
        <v>67</v>
      </c>
    </row>
    <row r="17" spans="3:7" x14ac:dyDescent="0.25">
      <c r="C17" s="4" t="str">
        <f t="shared" ref="C17:C23" si="0">"FOUR"&amp;TEXT(ROW(C1),"000")</f>
        <v>FOUR001</v>
      </c>
      <c r="D17" s="7" t="s">
        <v>150</v>
      </c>
      <c r="E17" s="7" t="s">
        <v>52</v>
      </c>
      <c r="F17" s="7" t="s">
        <v>187</v>
      </c>
      <c r="G17" s="7" t="s">
        <v>186</v>
      </c>
    </row>
    <row r="18" spans="3:7" x14ac:dyDescent="0.25">
      <c r="C18" s="4" t="str">
        <f t="shared" si="0"/>
        <v>FOUR002</v>
      </c>
      <c r="D18" s="7" t="s">
        <v>149</v>
      </c>
      <c r="E18" s="7" t="s">
        <v>149</v>
      </c>
      <c r="G18" s="7" t="s">
        <v>57</v>
      </c>
    </row>
    <row r="19" spans="3:7" x14ac:dyDescent="0.25">
      <c r="C19" s="4" t="str">
        <f t="shared" si="0"/>
        <v>FOUR003</v>
      </c>
      <c r="D19" s="7" t="s">
        <v>99</v>
      </c>
      <c r="E19" s="7" t="s">
        <v>100</v>
      </c>
      <c r="F19" s="7" t="s">
        <v>101</v>
      </c>
      <c r="G19" s="7" t="s">
        <v>102</v>
      </c>
    </row>
    <row r="20" spans="3:7" x14ac:dyDescent="0.25">
      <c r="C20" s="4" t="str">
        <f t="shared" si="0"/>
        <v>FOUR004</v>
      </c>
      <c r="D20" s="7" t="s">
        <v>50</v>
      </c>
      <c r="E20" s="7" t="s">
        <v>116</v>
      </c>
      <c r="F20" s="7" t="s">
        <v>117</v>
      </c>
      <c r="G20" s="7" t="s">
        <v>118</v>
      </c>
    </row>
    <row r="21" spans="3:7" x14ac:dyDescent="0.25">
      <c r="C21" s="4" t="str">
        <f t="shared" si="0"/>
        <v>FOUR005</v>
      </c>
      <c r="D21" s="7" t="s">
        <v>56</v>
      </c>
      <c r="E21" s="7" t="s">
        <v>132</v>
      </c>
      <c r="F21" s="7" t="s">
        <v>133</v>
      </c>
      <c r="G21" s="7" t="s">
        <v>134</v>
      </c>
    </row>
    <row r="22" spans="3:7" x14ac:dyDescent="0.25">
      <c r="C22" s="4" t="str">
        <f t="shared" si="0"/>
        <v>FOUR006</v>
      </c>
      <c r="D22" s="7" t="s">
        <v>145</v>
      </c>
      <c r="E22" s="7" t="s">
        <v>146</v>
      </c>
    </row>
    <row r="23" spans="3:7" x14ac:dyDescent="0.25">
      <c r="C23" s="4" t="str">
        <f t="shared" si="0"/>
        <v>FOUR007</v>
      </c>
      <c r="D23" s="7" t="s">
        <v>147</v>
      </c>
      <c r="F23" s="7" t="s">
        <v>148</v>
      </c>
    </row>
  </sheetData>
  <mergeCells count="1">
    <mergeCell ref="F8:G8"/>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E2:L12"/>
  <sheetViews>
    <sheetView showGridLines="0" workbookViewId="0"/>
  </sheetViews>
  <sheetFormatPr baseColWidth="10" defaultRowHeight="15" x14ac:dyDescent="0.25"/>
  <cols>
    <col min="2" max="2" width="19.5703125" bestFit="1" customWidth="1"/>
    <col min="3" max="3" width="32.85546875" customWidth="1"/>
    <col min="4" max="4" width="12" bestFit="1" customWidth="1"/>
    <col min="5" max="5" width="16.7109375" customWidth="1"/>
    <col min="6" max="6" width="16.28515625" customWidth="1"/>
    <col min="7" max="7" width="27.7109375" bestFit="1" customWidth="1"/>
    <col min="8" max="10" width="11.5703125" customWidth="1"/>
    <col min="11" max="11" width="12.5703125" customWidth="1"/>
  </cols>
  <sheetData>
    <row r="2" spans="5:12" x14ac:dyDescent="0.25">
      <c r="I2" s="36"/>
      <c r="J2" s="36"/>
      <c r="K2" s="36"/>
      <c r="L2" s="36"/>
    </row>
    <row r="3" spans="5:12" x14ac:dyDescent="0.25">
      <c r="I3" s="36"/>
      <c r="J3" s="36"/>
      <c r="K3" s="36"/>
      <c r="L3" s="36"/>
    </row>
    <row r="8" spans="5:12" ht="23.25" x14ac:dyDescent="0.35">
      <c r="F8" s="2" t="s">
        <v>42</v>
      </c>
    </row>
    <row r="12" spans="5:12" x14ac:dyDescent="0.25">
      <c r="E12" s="1"/>
    </row>
  </sheetData>
  <mergeCells count="1">
    <mergeCell ref="I2:L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9:J41"/>
  <sheetViews>
    <sheetView showGridLines="0" workbookViewId="0"/>
  </sheetViews>
  <sheetFormatPr baseColWidth="10" defaultRowHeight="15" x14ac:dyDescent="0.25"/>
  <cols>
    <col min="2" max="2" width="11.5703125" style="39" customWidth="1"/>
    <col min="3" max="3" width="10.5703125" style="20" customWidth="1"/>
    <col min="4" max="4" width="11.85546875" style="7" customWidth="1"/>
    <col min="5" max="5" width="39.140625" style="7" customWidth="1"/>
    <col min="6" max="6" width="17.7109375" style="7" customWidth="1"/>
    <col min="7" max="7" width="13.42578125" style="25" bestFit="1" customWidth="1"/>
    <col min="8" max="8" width="14.42578125" style="25" customWidth="1"/>
    <col min="9" max="9" width="13.85546875" style="7" customWidth="1"/>
    <col min="10" max="10" width="37" customWidth="1"/>
  </cols>
  <sheetData>
    <row r="9" spans="6:7" ht="23.25" customHeight="1" x14ac:dyDescent="0.35">
      <c r="F9" s="37" t="s">
        <v>63</v>
      </c>
      <c r="G9" s="37"/>
    </row>
    <row r="19" spans="2:10" ht="30" x14ac:dyDescent="0.25">
      <c r="B19" s="40" t="s">
        <v>9</v>
      </c>
      <c r="C19" s="20" t="s">
        <v>11</v>
      </c>
      <c r="D19" s="20" t="s">
        <v>0</v>
      </c>
      <c r="E19" s="20" t="s">
        <v>1</v>
      </c>
      <c r="F19" s="20" t="s">
        <v>10</v>
      </c>
      <c r="G19" s="20" t="s">
        <v>8</v>
      </c>
      <c r="H19" s="23" t="s">
        <v>66</v>
      </c>
      <c r="I19" s="23" t="s">
        <v>68</v>
      </c>
      <c r="J19" s="20" t="s">
        <v>67</v>
      </c>
    </row>
    <row r="20" spans="2:10" x14ac:dyDescent="0.25">
      <c r="B20" s="22">
        <v>41305</v>
      </c>
      <c r="C20" s="20">
        <v>2</v>
      </c>
      <c r="D20" s="21" t="s">
        <v>73</v>
      </c>
      <c r="E20" s="21" t="s">
        <v>50</v>
      </c>
      <c r="F20" s="21"/>
      <c r="G20" s="21">
        <v>3</v>
      </c>
      <c r="H20" s="24">
        <v>12</v>
      </c>
      <c r="I20" s="24">
        <v>45</v>
      </c>
      <c r="J20" s="21" t="s">
        <v>74</v>
      </c>
    </row>
    <row r="21" spans="2:10" x14ac:dyDescent="0.25">
      <c r="B21" s="22">
        <v>41620</v>
      </c>
      <c r="C21" s="20">
        <v>3</v>
      </c>
      <c r="D21" s="21" t="s">
        <v>75</v>
      </c>
      <c r="E21" s="21" t="s">
        <v>46</v>
      </c>
      <c r="F21" s="21"/>
      <c r="G21" s="21">
        <v>5</v>
      </c>
      <c r="H21" s="24">
        <v>12</v>
      </c>
      <c r="I21" s="24">
        <v>15</v>
      </c>
      <c r="J21" s="21" t="s">
        <v>76</v>
      </c>
    </row>
    <row r="22" spans="2:10" x14ac:dyDescent="0.25">
      <c r="B22" s="22">
        <v>40545</v>
      </c>
      <c r="C22" s="20">
        <v>1</v>
      </c>
      <c r="D22" s="21" t="s">
        <v>77</v>
      </c>
      <c r="E22" s="21" t="s">
        <v>69</v>
      </c>
      <c r="F22" s="21"/>
      <c r="G22" s="21">
        <v>2</v>
      </c>
      <c r="H22" s="24">
        <v>0.5</v>
      </c>
      <c r="I22" s="24">
        <v>2</v>
      </c>
      <c r="J22" s="21" t="s">
        <v>78</v>
      </c>
    </row>
    <row r="23" spans="2:10" x14ac:dyDescent="0.25">
      <c r="B23" s="22" t="s">
        <v>72</v>
      </c>
      <c r="C23" s="20">
        <v>1</v>
      </c>
      <c r="D23" s="21" t="s">
        <v>79</v>
      </c>
      <c r="E23" s="21" t="s">
        <v>53</v>
      </c>
      <c r="F23" s="21"/>
      <c r="G23" s="21">
        <v>1</v>
      </c>
      <c r="H23" s="24">
        <v>2</v>
      </c>
      <c r="I23" s="24">
        <v>3</v>
      </c>
      <c r="J23" s="21" t="s">
        <v>80</v>
      </c>
    </row>
    <row r="24" spans="2:10" x14ac:dyDescent="0.25">
      <c r="B24" s="22">
        <v>41255</v>
      </c>
      <c r="C24" s="20">
        <v>3</v>
      </c>
      <c r="D24" s="21" t="s">
        <v>103</v>
      </c>
      <c r="E24" s="21" t="s">
        <v>97</v>
      </c>
      <c r="F24" s="21"/>
      <c r="G24" s="21">
        <v>2</v>
      </c>
      <c r="H24" s="24">
        <v>2</v>
      </c>
      <c r="I24" s="24">
        <v>3</v>
      </c>
      <c r="J24" s="21" t="s">
        <v>104</v>
      </c>
    </row>
    <row r="25" spans="2:10" x14ac:dyDescent="0.25">
      <c r="B25" s="22">
        <v>41255</v>
      </c>
      <c r="C25" s="20">
        <v>2</v>
      </c>
      <c r="D25" s="21" t="s">
        <v>105</v>
      </c>
      <c r="E25" s="21" t="s">
        <v>95</v>
      </c>
      <c r="F25" s="21" t="s">
        <v>96</v>
      </c>
      <c r="G25" s="21">
        <v>2</v>
      </c>
      <c r="H25" s="24">
        <v>11</v>
      </c>
      <c r="I25" s="24">
        <v>12</v>
      </c>
      <c r="J25" s="21" t="s">
        <v>106</v>
      </c>
    </row>
    <row r="26" spans="2:10" x14ac:dyDescent="0.25">
      <c r="B26" s="22">
        <v>41255</v>
      </c>
      <c r="C26" s="20">
        <v>2</v>
      </c>
      <c r="D26" s="21" t="s">
        <v>73</v>
      </c>
      <c r="E26" s="21" t="s">
        <v>50</v>
      </c>
      <c r="F26" s="21" t="s">
        <v>50</v>
      </c>
      <c r="G26" s="21">
        <v>3</v>
      </c>
      <c r="H26" s="24">
        <v>1</v>
      </c>
      <c r="I26" s="24" t="s">
        <v>50</v>
      </c>
      <c r="J26" s="21" t="s">
        <v>107</v>
      </c>
    </row>
    <row r="27" spans="2:10" x14ac:dyDescent="0.25">
      <c r="B27" s="22">
        <v>41255</v>
      </c>
      <c r="C27" s="20">
        <v>2</v>
      </c>
      <c r="D27" s="21" t="s">
        <v>105</v>
      </c>
      <c r="E27" s="21" t="s">
        <v>95</v>
      </c>
      <c r="F27" s="21" t="s">
        <v>96</v>
      </c>
      <c r="G27" s="21">
        <v>12</v>
      </c>
      <c r="H27" s="24">
        <v>10</v>
      </c>
      <c r="I27" s="24">
        <v>12</v>
      </c>
      <c r="J27" s="21" t="s">
        <v>108</v>
      </c>
    </row>
    <row r="28" spans="2:10" x14ac:dyDescent="0.25">
      <c r="B28" s="22">
        <v>41255</v>
      </c>
      <c r="C28" s="20">
        <v>1</v>
      </c>
      <c r="D28" s="21" t="s">
        <v>79</v>
      </c>
      <c r="E28" s="21" t="s">
        <v>53</v>
      </c>
      <c r="F28" s="21" t="s">
        <v>55</v>
      </c>
      <c r="G28" s="21" t="s">
        <v>57</v>
      </c>
      <c r="H28" s="24">
        <v>1</v>
      </c>
      <c r="I28" s="24">
        <v>14</v>
      </c>
      <c r="J28" s="21" t="s">
        <v>138</v>
      </c>
    </row>
    <row r="29" spans="2:10" x14ac:dyDescent="0.25">
      <c r="B29" s="22">
        <v>41255</v>
      </c>
      <c r="C29" s="20">
        <v>3</v>
      </c>
      <c r="D29" s="21" t="s">
        <v>103</v>
      </c>
      <c r="E29" s="21" t="s">
        <v>97</v>
      </c>
      <c r="F29" s="21" t="s">
        <v>98</v>
      </c>
      <c r="G29" s="21">
        <v>1</v>
      </c>
      <c r="H29" s="24">
        <v>12</v>
      </c>
      <c r="I29" s="24">
        <v>3</v>
      </c>
      <c r="J29" s="21" t="s">
        <v>139</v>
      </c>
    </row>
    <row r="30" spans="2:10" x14ac:dyDescent="0.25">
      <c r="B30" s="22"/>
      <c r="C30" s="20" t="s">
        <v>140</v>
      </c>
      <c r="D30" s="21"/>
      <c r="E30" s="21" t="s">
        <v>141</v>
      </c>
      <c r="F30" s="21"/>
      <c r="G30" s="21"/>
      <c r="H30" s="24"/>
      <c r="I30" s="24"/>
      <c r="J30" s="21"/>
    </row>
    <row r="31" spans="2:10" x14ac:dyDescent="0.25">
      <c r="B31" s="22" t="s">
        <v>142</v>
      </c>
      <c r="C31" s="20">
        <v>1</v>
      </c>
      <c r="D31" s="21" t="s">
        <v>79</v>
      </c>
      <c r="E31" s="21" t="s">
        <v>53</v>
      </c>
      <c r="F31" s="21" t="s">
        <v>55</v>
      </c>
      <c r="G31" s="21">
        <v>1</v>
      </c>
      <c r="H31" s="24">
        <v>1</v>
      </c>
      <c r="I31" s="24">
        <v>14</v>
      </c>
      <c r="J31" s="21" t="s">
        <v>143</v>
      </c>
    </row>
    <row r="32" spans="2:10" x14ac:dyDescent="0.25">
      <c r="B32" s="22">
        <v>41255</v>
      </c>
      <c r="D32" s="21"/>
      <c r="E32" s="21"/>
      <c r="F32" s="21"/>
      <c r="G32" s="21"/>
      <c r="H32" s="24"/>
      <c r="I32" s="24"/>
      <c r="J32" s="21"/>
    </row>
    <row r="33" spans="2:10" x14ac:dyDescent="0.25">
      <c r="B33" s="22">
        <v>41255</v>
      </c>
      <c r="C33" s="20">
        <v>1</v>
      </c>
      <c r="D33" s="21" t="s">
        <v>77</v>
      </c>
      <c r="E33" s="21" t="s">
        <v>69</v>
      </c>
      <c r="F33" s="21" t="s">
        <v>71</v>
      </c>
      <c r="G33" s="21">
        <v>1</v>
      </c>
      <c r="H33" s="24">
        <v>1</v>
      </c>
      <c r="I33" s="24">
        <v>12</v>
      </c>
      <c r="J33" s="21" t="s">
        <v>154</v>
      </c>
    </row>
    <row r="34" spans="2:10" x14ac:dyDescent="0.25">
      <c r="B34" s="22">
        <v>40980</v>
      </c>
      <c r="C34" s="20">
        <v>3</v>
      </c>
      <c r="D34" s="21" t="s">
        <v>103</v>
      </c>
      <c r="E34" s="21" t="s">
        <v>97</v>
      </c>
      <c r="F34" s="21" t="s">
        <v>98</v>
      </c>
      <c r="G34" s="21">
        <v>2</v>
      </c>
      <c r="H34" s="24">
        <v>1</v>
      </c>
      <c r="I34" s="24">
        <v>3</v>
      </c>
      <c r="J34" s="21"/>
    </row>
    <row r="35" spans="2:10" x14ac:dyDescent="0.25">
      <c r="B35" s="22">
        <v>41345</v>
      </c>
      <c r="C35" s="20">
        <v>2</v>
      </c>
      <c r="D35" s="21" t="s">
        <v>73</v>
      </c>
      <c r="E35" s="21" t="s">
        <v>50</v>
      </c>
      <c r="F35" s="21" t="s">
        <v>50</v>
      </c>
      <c r="G35" s="21">
        <v>1</v>
      </c>
      <c r="H35" s="24">
        <v>1</v>
      </c>
      <c r="I35" s="24" t="s">
        <v>50</v>
      </c>
      <c r="J35" s="21"/>
    </row>
    <row r="36" spans="2:10" x14ac:dyDescent="0.25">
      <c r="B36" s="22">
        <v>41255</v>
      </c>
      <c r="C36" s="20">
        <v>1</v>
      </c>
      <c r="D36" s="21" t="s">
        <v>79</v>
      </c>
      <c r="E36" s="21" t="s">
        <v>53</v>
      </c>
      <c r="F36" s="21" t="s">
        <v>55</v>
      </c>
      <c r="G36" s="21">
        <v>2</v>
      </c>
      <c r="H36" s="24">
        <v>2</v>
      </c>
      <c r="I36" s="24">
        <v>14</v>
      </c>
      <c r="J36" s="21"/>
    </row>
    <row r="37" spans="2:10" x14ac:dyDescent="0.25">
      <c r="B37" s="22">
        <v>41194</v>
      </c>
      <c r="C37" s="20">
        <v>2</v>
      </c>
      <c r="D37" s="21" t="s">
        <v>105</v>
      </c>
      <c r="E37" s="21" t="s">
        <v>95</v>
      </c>
      <c r="F37" s="21" t="s">
        <v>96</v>
      </c>
      <c r="G37" s="21">
        <v>2</v>
      </c>
      <c r="H37" s="24">
        <v>2</v>
      </c>
      <c r="I37" s="24">
        <v>12</v>
      </c>
      <c r="J37" s="21"/>
    </row>
    <row r="38" spans="2:10" x14ac:dyDescent="0.25">
      <c r="B38" s="22">
        <v>28308</v>
      </c>
      <c r="C38" s="20">
        <v>1</v>
      </c>
      <c r="D38" s="21" t="s">
        <v>77</v>
      </c>
      <c r="E38" s="21" t="s">
        <v>69</v>
      </c>
      <c r="F38" s="21" t="s">
        <v>71</v>
      </c>
      <c r="G38" s="21">
        <v>2</v>
      </c>
      <c r="H38" s="24">
        <v>2</v>
      </c>
      <c r="I38" s="24">
        <v>12</v>
      </c>
      <c r="J38" s="21"/>
    </row>
    <row r="39" spans="2:10" x14ac:dyDescent="0.25">
      <c r="B39" s="22">
        <v>41225</v>
      </c>
      <c r="C39" s="20">
        <v>2</v>
      </c>
      <c r="D39" s="21" t="s">
        <v>105</v>
      </c>
      <c r="E39" s="21" t="s">
        <v>95</v>
      </c>
      <c r="F39" s="21" t="s">
        <v>96</v>
      </c>
      <c r="G39" s="21">
        <v>3</v>
      </c>
      <c r="H39" s="24">
        <v>3</v>
      </c>
      <c r="I39" s="24">
        <v>12</v>
      </c>
      <c r="J39" s="21"/>
    </row>
    <row r="40" spans="2:10" x14ac:dyDescent="0.25">
      <c r="B40" s="22">
        <v>41253</v>
      </c>
      <c r="C40" s="20">
        <v>1</v>
      </c>
      <c r="D40" s="21" t="s">
        <v>79</v>
      </c>
      <c r="E40" s="21" t="s">
        <v>53</v>
      </c>
      <c r="F40" s="21" t="s">
        <v>55</v>
      </c>
      <c r="G40" s="21">
        <v>2</v>
      </c>
      <c r="H40" s="24">
        <v>2</v>
      </c>
      <c r="I40" s="24">
        <v>14</v>
      </c>
      <c r="J40" s="21"/>
    </row>
    <row r="41" spans="2:10" x14ac:dyDescent="0.25">
      <c r="B41" s="22">
        <v>41256</v>
      </c>
      <c r="C41" s="20">
        <v>3</v>
      </c>
      <c r="D41" s="21" t="s">
        <v>103</v>
      </c>
      <c r="E41" s="21" t="s">
        <v>97</v>
      </c>
      <c r="F41" s="21" t="s">
        <v>98</v>
      </c>
      <c r="G41" s="21">
        <v>2</v>
      </c>
      <c r="H41" s="24">
        <v>2</v>
      </c>
      <c r="I41" s="24">
        <v>3</v>
      </c>
      <c r="J41" s="21"/>
    </row>
  </sheetData>
  <mergeCells count="1">
    <mergeCell ref="F9:G9"/>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8:M29"/>
  <sheetViews>
    <sheetView showGridLines="0" workbookViewId="0"/>
  </sheetViews>
  <sheetFormatPr baseColWidth="10" defaultRowHeight="15" x14ac:dyDescent="0.25"/>
  <cols>
    <col min="1" max="1" width="11.42578125" style="7"/>
    <col min="2" max="2" width="12.5703125" style="7" customWidth="1"/>
    <col min="3" max="3" width="18.28515625" style="20" customWidth="1"/>
    <col min="4" max="4" width="10.85546875" style="20" customWidth="1"/>
    <col min="5" max="5" width="12.42578125" style="7" customWidth="1"/>
    <col min="6" max="6" width="37.7109375" style="7" customWidth="1"/>
    <col min="7" max="7" width="12.7109375" style="7" customWidth="1"/>
    <col min="8" max="8" width="12.5703125" style="7" bestFit="1" customWidth="1"/>
    <col min="9" max="9" width="13" style="7" customWidth="1"/>
    <col min="10" max="10" width="10.140625" style="7" customWidth="1"/>
    <col min="11" max="11" width="14.28515625" style="7" customWidth="1"/>
    <col min="12" max="12" width="19.85546875" style="7" bestFit="1" customWidth="1"/>
    <col min="13" max="13" width="26.7109375" style="7" customWidth="1"/>
    <col min="14" max="16384" width="11.42578125" style="7"/>
  </cols>
  <sheetData>
    <row r="8" spans="7:9" ht="23.25" x14ac:dyDescent="0.35">
      <c r="G8" s="34" t="s">
        <v>64</v>
      </c>
      <c r="H8" s="34"/>
      <c r="I8" s="34"/>
    </row>
    <row r="17" spans="2:13" ht="30" x14ac:dyDescent="0.25">
      <c r="B17" s="20" t="s">
        <v>9</v>
      </c>
      <c r="C17" s="20" t="s">
        <v>82</v>
      </c>
      <c r="D17" s="20" t="s">
        <v>11</v>
      </c>
      <c r="E17" s="20" t="s">
        <v>0</v>
      </c>
      <c r="F17" s="20" t="s">
        <v>1</v>
      </c>
      <c r="G17" s="20" t="s">
        <v>10</v>
      </c>
      <c r="H17" s="20" t="s">
        <v>8</v>
      </c>
      <c r="I17" s="23" t="s">
        <v>68</v>
      </c>
      <c r="J17" s="23" t="s">
        <v>83</v>
      </c>
      <c r="K17" s="23" t="s">
        <v>6</v>
      </c>
      <c r="L17" s="23" t="s">
        <v>81</v>
      </c>
      <c r="M17" s="20" t="s">
        <v>67</v>
      </c>
    </row>
    <row r="18" spans="2:13" x14ac:dyDescent="0.25">
      <c r="B18" s="22">
        <v>41255</v>
      </c>
      <c r="C18" s="20" t="s">
        <v>84</v>
      </c>
      <c r="D18" s="20">
        <v>1</v>
      </c>
      <c r="E18" s="21" t="s">
        <v>79</v>
      </c>
      <c r="F18" s="21" t="s">
        <v>53</v>
      </c>
      <c r="G18" s="21"/>
      <c r="H18" s="21">
        <v>14</v>
      </c>
      <c r="I18" s="24"/>
      <c r="J18" s="24"/>
      <c r="K18" s="24">
        <f>ventes[Quantité]*ventes[Prix de vente unitaire]</f>
        <v>0</v>
      </c>
      <c r="L18" s="24"/>
      <c r="M18" s="21"/>
    </row>
    <row r="19" spans="2:13" x14ac:dyDescent="0.25">
      <c r="B19" s="22">
        <v>41255</v>
      </c>
      <c r="C19" s="20" t="s">
        <v>84</v>
      </c>
      <c r="D19" s="20">
        <v>1</v>
      </c>
      <c r="E19" s="21" t="s">
        <v>77</v>
      </c>
      <c r="F19" s="21" t="s">
        <v>69</v>
      </c>
      <c r="G19" s="21"/>
      <c r="H19" s="21">
        <v>2</v>
      </c>
      <c r="I19" s="24">
        <v>12</v>
      </c>
      <c r="J19" s="24" t="s">
        <v>85</v>
      </c>
      <c r="K19" s="24">
        <f>ventes[Quantité]*ventes[Prix de vente unitaire]</f>
        <v>24</v>
      </c>
      <c r="L19" s="24" t="s">
        <v>86</v>
      </c>
      <c r="M19" s="21" t="s">
        <v>87</v>
      </c>
    </row>
    <row r="20" spans="2:13" x14ac:dyDescent="0.25">
      <c r="B20" s="22">
        <v>40880</v>
      </c>
      <c r="C20" s="20" t="s">
        <v>88</v>
      </c>
      <c r="D20" s="20">
        <v>3</v>
      </c>
      <c r="E20" s="21" t="s">
        <v>75</v>
      </c>
      <c r="F20" s="21" t="s">
        <v>46</v>
      </c>
      <c r="G20" s="21"/>
      <c r="H20" s="21">
        <v>2</v>
      </c>
      <c r="I20" s="24" t="s">
        <v>47</v>
      </c>
      <c r="J20" s="24"/>
      <c r="K20" s="24" t="e">
        <f>ventes[Quantité]*ventes[Prix de vente unitaire]</f>
        <v>#VALUE!</v>
      </c>
      <c r="L20" s="24" t="s">
        <v>89</v>
      </c>
      <c r="M20" s="21" t="s">
        <v>90</v>
      </c>
    </row>
    <row r="21" spans="2:13" x14ac:dyDescent="0.25">
      <c r="B21" s="22">
        <v>41255</v>
      </c>
      <c r="C21" s="20" t="s">
        <v>109</v>
      </c>
      <c r="D21" s="20">
        <v>3</v>
      </c>
      <c r="E21" s="21" t="s">
        <v>103</v>
      </c>
      <c r="F21" s="21" t="s">
        <v>97</v>
      </c>
      <c r="G21" s="21" t="s">
        <v>98</v>
      </c>
      <c r="H21" s="21">
        <v>1</v>
      </c>
      <c r="I21" s="24"/>
      <c r="J21" s="24"/>
      <c r="K21" s="24">
        <f>ventes[Quantité]*ventes[Prix de vente unitaire]</f>
        <v>0</v>
      </c>
      <c r="L21" s="24" t="s">
        <v>110</v>
      </c>
      <c r="M21" s="21"/>
    </row>
    <row r="22" spans="2:13" x14ac:dyDescent="0.25">
      <c r="B22" s="22">
        <v>41255</v>
      </c>
      <c r="C22" s="20" t="s">
        <v>84</v>
      </c>
      <c r="D22" s="20">
        <v>1</v>
      </c>
      <c r="E22" s="21" t="s">
        <v>111</v>
      </c>
      <c r="F22" s="21" t="s">
        <v>93</v>
      </c>
      <c r="G22" s="21" t="s">
        <v>94</v>
      </c>
      <c r="H22" s="21">
        <v>2</v>
      </c>
      <c r="I22" s="24"/>
      <c r="J22" s="24" t="s">
        <v>85</v>
      </c>
      <c r="K22" s="24">
        <f>ventes[Quantité]*ventes[Prix de vente unitaire]</f>
        <v>0</v>
      </c>
      <c r="L22" s="24" t="s">
        <v>110</v>
      </c>
      <c r="M22" s="21" t="s">
        <v>112</v>
      </c>
    </row>
    <row r="23" spans="2:13" x14ac:dyDescent="0.25">
      <c r="B23" s="22">
        <v>41255</v>
      </c>
      <c r="C23" s="20" t="s">
        <v>84</v>
      </c>
      <c r="D23" s="20">
        <v>3</v>
      </c>
      <c r="E23" s="21" t="s">
        <v>103</v>
      </c>
      <c r="F23" s="21" t="s">
        <v>97</v>
      </c>
      <c r="G23" s="21" t="s">
        <v>98</v>
      </c>
      <c r="H23" s="21">
        <v>2</v>
      </c>
      <c r="I23" s="24">
        <v>3</v>
      </c>
      <c r="J23" s="24"/>
      <c r="K23" s="24">
        <f>ventes[Quantité]*ventes[Prix de vente unitaire]</f>
        <v>6</v>
      </c>
      <c r="L23" s="24" t="s">
        <v>86</v>
      </c>
      <c r="M23" s="21" t="s">
        <v>113</v>
      </c>
    </row>
    <row r="24" spans="2:13" x14ac:dyDescent="0.25">
      <c r="B24" s="22">
        <v>41255</v>
      </c>
      <c r="C24" s="20" t="s">
        <v>109</v>
      </c>
      <c r="D24" s="20">
        <v>2</v>
      </c>
      <c r="E24" s="21" t="s">
        <v>105</v>
      </c>
      <c r="F24" s="21" t="s">
        <v>95</v>
      </c>
      <c r="G24" s="21" t="s">
        <v>96</v>
      </c>
      <c r="H24" s="21">
        <v>2</v>
      </c>
      <c r="I24" s="24">
        <v>12</v>
      </c>
      <c r="J24" s="24" t="s">
        <v>85</v>
      </c>
      <c r="K24" s="24">
        <f>ventes[Quantité]*ventes[Prix de vente unitaire]</f>
        <v>24</v>
      </c>
      <c r="L24" s="24" t="s">
        <v>86</v>
      </c>
      <c r="M24" s="21" t="s">
        <v>114</v>
      </c>
    </row>
    <row r="25" spans="2:13" x14ac:dyDescent="0.25">
      <c r="B25" s="22">
        <v>41225</v>
      </c>
      <c r="C25" s="20" t="s">
        <v>88</v>
      </c>
      <c r="D25" s="20">
        <v>3</v>
      </c>
      <c r="E25" s="21" t="s">
        <v>103</v>
      </c>
      <c r="F25" s="21" t="s">
        <v>97</v>
      </c>
      <c r="G25" s="21" t="s">
        <v>98</v>
      </c>
      <c r="H25" s="21">
        <v>1000</v>
      </c>
      <c r="I25" s="24">
        <v>2</v>
      </c>
      <c r="J25" s="24"/>
      <c r="K25" s="24">
        <f>ventes[Quantité]*ventes[Prix de vente unitaire]</f>
        <v>2000</v>
      </c>
      <c r="L25" s="24" t="s">
        <v>86</v>
      </c>
      <c r="M25" s="21" t="s">
        <v>131</v>
      </c>
    </row>
    <row r="26" spans="2:13" x14ac:dyDescent="0.25">
      <c r="B26" s="22"/>
      <c r="E26" s="21"/>
      <c r="F26" s="21"/>
      <c r="G26" s="21"/>
      <c r="H26" s="21"/>
      <c r="I26" s="24"/>
      <c r="J26" s="24"/>
      <c r="K26" s="24">
        <f>ventes[Quantité]*ventes[Prix de vente unitaire]</f>
        <v>0</v>
      </c>
      <c r="L26" s="24"/>
      <c r="M26" s="21"/>
    </row>
    <row r="27" spans="2:13" x14ac:dyDescent="0.25">
      <c r="B27" s="22">
        <v>41225</v>
      </c>
      <c r="C27" s="20" t="s">
        <v>151</v>
      </c>
      <c r="D27" s="20">
        <v>2</v>
      </c>
      <c r="E27" s="21" t="s">
        <v>105</v>
      </c>
      <c r="F27" s="21" t="s">
        <v>95</v>
      </c>
      <c r="G27" s="21" t="s">
        <v>96</v>
      </c>
      <c r="H27" s="21">
        <v>1</v>
      </c>
      <c r="I27" s="24">
        <v>12</v>
      </c>
      <c r="J27" s="24"/>
      <c r="K27" s="24">
        <f>ventes[Quantité]*ventes[Prix de vente unitaire]</f>
        <v>12</v>
      </c>
      <c r="L27" s="24" t="s">
        <v>110</v>
      </c>
      <c r="M27" s="21" t="s">
        <v>152</v>
      </c>
    </row>
    <row r="28" spans="2:13" x14ac:dyDescent="0.25">
      <c r="B28" s="22" t="s">
        <v>156</v>
      </c>
      <c r="C28" s="20" t="s">
        <v>109</v>
      </c>
      <c r="D28" s="20">
        <v>1</v>
      </c>
      <c r="E28" s="21" t="s">
        <v>77</v>
      </c>
      <c r="F28" s="21" t="s">
        <v>69</v>
      </c>
      <c r="G28" s="21" t="s">
        <v>71</v>
      </c>
      <c r="H28" s="21">
        <v>1</v>
      </c>
      <c r="I28" s="24">
        <v>12</v>
      </c>
      <c r="J28" s="24"/>
      <c r="K28" s="24">
        <f>ventes[Quantité]*ventes[Prix de vente unitaire]</f>
        <v>12</v>
      </c>
      <c r="L28" s="24" t="s">
        <v>86</v>
      </c>
      <c r="M28" s="21" t="s">
        <v>153</v>
      </c>
    </row>
    <row r="29" spans="2:13" x14ac:dyDescent="0.25">
      <c r="B29" s="22" t="s">
        <v>155</v>
      </c>
      <c r="C29" s="20" t="s">
        <v>109</v>
      </c>
      <c r="D29" s="20">
        <v>2</v>
      </c>
      <c r="E29" s="21" t="s">
        <v>105</v>
      </c>
      <c r="F29" s="21" t="s">
        <v>95</v>
      </c>
      <c r="G29" s="21" t="s">
        <v>96</v>
      </c>
      <c r="H29" s="21">
        <v>3</v>
      </c>
      <c r="I29" s="24">
        <v>10</v>
      </c>
      <c r="J29" s="24" t="s">
        <v>85</v>
      </c>
      <c r="K29" s="24">
        <f>ventes[Quantité]*ventes[Prix de vente unitaire]</f>
        <v>30</v>
      </c>
      <c r="L29" s="24" t="s">
        <v>110</v>
      </c>
      <c r="M29" s="21"/>
    </row>
  </sheetData>
  <mergeCells count="1">
    <mergeCell ref="G8:I8"/>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I18"/>
  <sheetViews>
    <sheetView showGridLines="0" workbookViewId="0">
      <selection activeCell="F13" sqref="F13"/>
    </sheetView>
  </sheetViews>
  <sheetFormatPr baseColWidth="10" defaultRowHeight="15" x14ac:dyDescent="0.25"/>
  <cols>
    <col min="1" max="1" width="11.5703125" style="7" customWidth="1"/>
    <col min="2" max="2" width="10.7109375" style="7" customWidth="1"/>
    <col min="3" max="3" width="15.5703125" style="7" customWidth="1"/>
    <col min="4" max="4" width="38" style="7" customWidth="1"/>
    <col min="5" max="5" width="13" style="7" bestFit="1" customWidth="1"/>
    <col min="6" max="6" width="13.42578125" style="7" bestFit="1" customWidth="1"/>
    <col min="7" max="7" width="16.85546875" style="25" customWidth="1"/>
    <col min="8" max="8" width="16.140625" style="25" customWidth="1"/>
    <col min="9" max="9" width="15.42578125" style="25" customWidth="1"/>
    <col min="10" max="16384" width="11.42578125" style="7"/>
  </cols>
  <sheetData>
    <row r="1" spans="1:9" x14ac:dyDescent="0.25">
      <c r="A1" s="7" t="s">
        <v>126</v>
      </c>
      <c r="B1" s="7" t="s">
        <v>127</v>
      </c>
      <c r="C1" s="7" t="s">
        <v>128</v>
      </c>
      <c r="D1" s="7" t="s">
        <v>129</v>
      </c>
    </row>
    <row r="8" spans="1:9" ht="23.25" customHeight="1" x14ac:dyDescent="0.35">
      <c r="F8" s="34" t="s">
        <v>65</v>
      </c>
      <c r="G8" s="34"/>
    </row>
    <row r="16" spans="1:9" x14ac:dyDescent="0.25">
      <c r="G16" s="7"/>
      <c r="H16" s="7"/>
      <c r="I16" s="7"/>
    </row>
    <row r="17" spans="2:9" s="20" customFormat="1" ht="30" x14ac:dyDescent="0.25">
      <c r="B17" s="28" t="s">
        <v>11</v>
      </c>
      <c r="C17" s="28" t="s">
        <v>0</v>
      </c>
      <c r="D17" s="28" t="s">
        <v>1</v>
      </c>
      <c r="E17" s="28" t="s">
        <v>10</v>
      </c>
      <c r="F17" s="28" t="s">
        <v>8</v>
      </c>
      <c r="G17" s="28" t="s">
        <v>130</v>
      </c>
      <c r="H17" s="28" t="s">
        <v>91</v>
      </c>
      <c r="I17" s="29" t="s">
        <v>92</v>
      </c>
    </row>
    <row r="18" spans="2:9" x14ac:dyDescent="0.25">
      <c r="B18" s="27"/>
      <c r="C18" s="27"/>
      <c r="D18" s="27"/>
      <c r="E18" s="27"/>
      <c r="F18" s="27"/>
      <c r="G18" s="27"/>
      <c r="H18" s="27"/>
      <c r="I18" s="30"/>
    </row>
  </sheetData>
  <mergeCells count="1">
    <mergeCell ref="F8:G8"/>
  </mergeCells>
  <pageMargins left="0.7" right="0.7" top="0.75" bottom="0.75" header="0.3" footer="0.3"/>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G8"/>
  <sheetViews>
    <sheetView workbookViewId="0">
      <selection activeCell="B25" sqref="B25"/>
    </sheetView>
  </sheetViews>
  <sheetFormatPr baseColWidth="10" defaultColWidth="14.42578125" defaultRowHeight="15" x14ac:dyDescent="0.25"/>
  <sheetData>
    <row r="8" spans="7:7" ht="23.25" x14ac:dyDescent="0.35">
      <c r="G8" s="2" t="s">
        <v>43</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8:L52"/>
  <sheetViews>
    <sheetView tabSelected="1" topLeftCell="A19" workbookViewId="0">
      <selection activeCell="A30" sqref="A30"/>
    </sheetView>
  </sheetViews>
  <sheetFormatPr baseColWidth="10" defaultColWidth="15.42578125" defaultRowHeight="15" x14ac:dyDescent="0.25"/>
  <cols>
    <col min="1" max="1" width="4.85546875" customWidth="1"/>
    <col min="2" max="2" width="34.140625" customWidth="1"/>
    <col min="6" max="6" width="6.7109375" customWidth="1"/>
    <col min="7" max="7" width="28.42578125" bestFit="1" customWidth="1"/>
    <col min="8" max="8" width="11" bestFit="1" customWidth="1"/>
    <col min="9" max="9" width="13.85546875" customWidth="1"/>
    <col min="10" max="10" width="30" style="61" bestFit="1" customWidth="1"/>
    <col min="11" max="11" width="15.28515625" bestFit="1" customWidth="1"/>
  </cols>
  <sheetData>
    <row r="8" spans="1:12" ht="23.25" x14ac:dyDescent="0.35">
      <c r="F8" s="2" t="s">
        <v>44</v>
      </c>
    </row>
    <row r="15" spans="1:12" x14ac:dyDescent="0.25">
      <c r="A15" s="42"/>
      <c r="B15" s="42"/>
      <c r="C15" s="42"/>
      <c r="D15" s="42"/>
      <c r="E15" s="42"/>
      <c r="F15" s="42"/>
      <c r="G15" s="42"/>
      <c r="H15" s="42"/>
      <c r="I15" s="42"/>
      <c r="J15" s="62"/>
      <c r="K15" s="42"/>
      <c r="L15" s="42"/>
    </row>
    <row r="16" spans="1:12" x14ac:dyDescent="0.25">
      <c r="A16" s="54"/>
      <c r="B16" s="31" t="s">
        <v>157</v>
      </c>
      <c r="C16" s="7" t="s">
        <v>158</v>
      </c>
      <c r="D16" s="4" t="s">
        <v>159</v>
      </c>
      <c r="E16" s="7" t="s">
        <v>160</v>
      </c>
      <c r="F16" s="25"/>
      <c r="G16" s="43" t="s">
        <v>161</v>
      </c>
      <c r="H16" s="44" t="s">
        <v>158</v>
      </c>
      <c r="I16" s="44" t="s">
        <v>159</v>
      </c>
      <c r="J16" s="63" t="s">
        <v>160</v>
      </c>
      <c r="K16" s="54"/>
    </row>
    <row r="17" spans="1:12" x14ac:dyDescent="0.25">
      <c r="A17" s="42"/>
      <c r="B17" s="31" t="s">
        <v>162</v>
      </c>
      <c r="C17" s="7">
        <f>Revenus[[#Totals],[ESTIMÉ]]</f>
        <v>73500</v>
      </c>
      <c r="D17" s="4">
        <f>Revenus[[#Totals],[RÉEL]]</f>
        <v>70673</v>
      </c>
      <c r="E17" s="7">
        <f>TableauTotaux[[#This Row],[RÉEL]]-TableauTotaux[[#This Row],[ESTIMÉ]]</f>
        <v>-2827</v>
      </c>
      <c r="F17" s="25"/>
      <c r="G17" s="45" t="s">
        <v>163</v>
      </c>
      <c r="H17" s="46">
        <v>60000</v>
      </c>
      <c r="I17" s="46">
        <v>54000</v>
      </c>
      <c r="J17" s="64">
        <f>Revenus[[#This Row],[RÉEL]]-Revenus[[#This Row],[ESTIMÉ]]</f>
        <v>-6000</v>
      </c>
      <c r="K17" s="42"/>
    </row>
    <row r="18" spans="1:12" x14ac:dyDescent="0.25">
      <c r="A18" s="42"/>
      <c r="B18" s="31" t="s">
        <v>164</v>
      </c>
      <c r="C18" s="7">
        <f>FraisExploitation[[#Totals],[ESTIMÉ]]+DépensesPersonnelles[[#Totals],[ESTIMÉ]]</f>
        <v>10600</v>
      </c>
      <c r="D18" s="4">
        <f>FraisExploitation[[#Totals],[RÉEL]]+DépensesPersonnelles[[#Totals],[RÉEL]]</f>
        <v>10800</v>
      </c>
      <c r="E18" s="7">
        <f>TableauTotaux[[#This Row],[ESTIMÉ]]-TableauTotaux[[#This Row],[RÉEL]]</f>
        <v>-200</v>
      </c>
      <c r="F18" s="25"/>
      <c r="G18" s="45" t="s">
        <v>165</v>
      </c>
      <c r="H18" s="46">
        <v>3000</v>
      </c>
      <c r="I18" s="46">
        <v>3000</v>
      </c>
      <c r="J18" s="64">
        <f>Revenus[[#This Row],[RÉEL]]-Revenus[[#This Row],[ESTIMÉ]]</f>
        <v>0</v>
      </c>
      <c r="K18" s="42"/>
    </row>
    <row r="19" spans="1:12" x14ac:dyDescent="0.25">
      <c r="A19" s="42"/>
      <c r="B19" s="31" t="s">
        <v>166</v>
      </c>
      <c r="C19" s="7">
        <f>C17-C18</f>
        <v>62900</v>
      </c>
      <c r="D19" s="4">
        <f>D17-D18</f>
        <v>59873</v>
      </c>
      <c r="E19" s="7">
        <f>SUBTOTAL(109,TableauTotaux[DIFFÉRENCE])</f>
        <v>-3027</v>
      </c>
      <c r="F19" s="25"/>
      <c r="G19" s="45" t="s">
        <v>167</v>
      </c>
      <c r="H19" s="46">
        <v>300</v>
      </c>
      <c r="I19" s="46">
        <v>450</v>
      </c>
      <c r="J19" s="64">
        <f>Revenus[[#This Row],[RÉEL]]-Revenus[[#This Row],[ESTIMÉ]]</f>
        <v>150</v>
      </c>
      <c r="K19" s="42"/>
    </row>
    <row r="20" spans="1:12" x14ac:dyDescent="0.25">
      <c r="A20" s="42"/>
      <c r="B20" s="45"/>
      <c r="C20" s="47"/>
      <c r="D20" s="47"/>
      <c r="E20" s="46"/>
      <c r="F20" s="42"/>
      <c r="G20" s="45" t="s">
        <v>182</v>
      </c>
      <c r="H20" s="46">
        <v>10000</v>
      </c>
      <c r="I20" s="46">
        <v>1000</v>
      </c>
      <c r="J20" s="64">
        <f>Revenus[[#This Row],[RÉEL]]-Revenus[[#This Row],[ESTIMÉ]]</f>
        <v>-9000</v>
      </c>
      <c r="K20" s="42"/>
    </row>
    <row r="21" spans="1:12" x14ac:dyDescent="0.25">
      <c r="A21" s="42"/>
      <c r="B21" s="42"/>
      <c r="C21" s="42"/>
      <c r="D21" s="42"/>
      <c r="E21" s="42"/>
      <c r="F21" s="42"/>
      <c r="G21" s="45" t="s">
        <v>184</v>
      </c>
      <c r="H21" s="46">
        <v>100</v>
      </c>
      <c r="I21" s="46">
        <v>12222</v>
      </c>
      <c r="J21" s="64">
        <f>Revenus[[#This Row],[RÉEL]]-Revenus[[#This Row],[ESTIMÉ]]</f>
        <v>12122</v>
      </c>
      <c r="K21" s="60"/>
      <c r="L21" s="42"/>
    </row>
    <row r="22" spans="1:12" x14ac:dyDescent="0.25">
      <c r="A22" s="42"/>
      <c r="B22" s="42"/>
      <c r="C22" s="42"/>
      <c r="D22" s="42"/>
      <c r="E22" s="42"/>
      <c r="F22" s="42"/>
      <c r="G22" s="45" t="s">
        <v>185</v>
      </c>
      <c r="H22" s="46">
        <v>100</v>
      </c>
      <c r="I22" s="46">
        <v>1</v>
      </c>
      <c r="J22" s="64">
        <f>Revenus[[#This Row],[RÉEL]]-Revenus[[#This Row],[ESTIMÉ]]</f>
        <v>-99</v>
      </c>
      <c r="K22" s="42"/>
    </row>
    <row r="23" spans="1:12" x14ac:dyDescent="0.25">
      <c r="A23" s="42"/>
      <c r="B23" s="42"/>
      <c r="C23" s="42"/>
      <c r="D23" s="42"/>
      <c r="E23" s="42"/>
      <c r="F23" s="42"/>
      <c r="G23" s="45" t="s">
        <v>6</v>
      </c>
      <c r="H23" s="47">
        <f>SUBTOTAL(109,Revenus[ESTIMÉ])</f>
        <v>73500</v>
      </c>
      <c r="I23" s="47">
        <f>SUBTOTAL(109,Revenus[RÉEL])</f>
        <v>70673</v>
      </c>
      <c r="J23" s="65">
        <f>SUBTOTAL(109,Revenus[DIFFÉRENCE])</f>
        <v>-2827</v>
      </c>
      <c r="K23" s="42"/>
    </row>
    <row r="24" spans="1:12" x14ac:dyDescent="0.25">
      <c r="A24" s="42"/>
      <c r="B24" s="42"/>
      <c r="C24" s="42"/>
      <c r="D24" s="42"/>
      <c r="E24" s="42"/>
      <c r="F24" s="42"/>
      <c r="G24" s="60"/>
      <c r="H24" s="60"/>
      <c r="I24" s="60"/>
      <c r="J24" s="66"/>
      <c r="K24" s="42"/>
    </row>
    <row r="25" spans="1:12" x14ac:dyDescent="0.25">
      <c r="A25" s="42"/>
      <c r="B25" s="42"/>
      <c r="C25" s="42"/>
      <c r="D25" s="42"/>
      <c r="E25" s="42"/>
      <c r="F25" s="42"/>
      <c r="G25" s="45" t="s">
        <v>183</v>
      </c>
      <c r="H25" s="48" t="s">
        <v>158</v>
      </c>
      <c r="I25" s="48" t="s">
        <v>159</v>
      </c>
      <c r="J25" s="64" t="s">
        <v>160</v>
      </c>
      <c r="K25" s="42"/>
    </row>
    <row r="26" spans="1:12" x14ac:dyDescent="0.25">
      <c r="A26" s="42"/>
      <c r="B26" s="42"/>
      <c r="C26" s="42"/>
      <c r="D26" s="42"/>
      <c r="E26" s="42"/>
      <c r="F26" s="42"/>
      <c r="G26" s="45" t="s">
        <v>168</v>
      </c>
      <c r="H26" s="46">
        <v>9500</v>
      </c>
      <c r="I26" s="46">
        <v>9600</v>
      </c>
      <c r="J26" s="64">
        <f>DépensesPersonnelles[[#This Row],[ESTIMÉ]]-DépensesPersonnelles[[#This Row],[RÉEL]]</f>
        <v>-100</v>
      </c>
      <c r="K26" s="42"/>
    </row>
    <row r="27" spans="1:12" x14ac:dyDescent="0.25">
      <c r="A27" s="42"/>
      <c r="B27" s="42"/>
      <c r="C27" s="42"/>
      <c r="D27" s="42"/>
      <c r="E27" s="42"/>
      <c r="F27" s="42"/>
      <c r="G27" s="45" t="s">
        <v>169</v>
      </c>
      <c r="H27" s="47">
        <f>SUBTOTAL(109,DépensesPersonnelles[ESTIMÉ])</f>
        <v>9500</v>
      </c>
      <c r="I27" s="47">
        <f>SUBTOTAL(109,DépensesPersonnelles[RÉEL])</f>
        <v>9600</v>
      </c>
      <c r="J27" s="65">
        <f>SUBTOTAL(109,DépensesPersonnelles[DIFFÉRENCE])</f>
        <v>-100</v>
      </c>
      <c r="K27" s="60"/>
      <c r="L27" s="42"/>
    </row>
    <row r="28" spans="1:12" x14ac:dyDescent="0.25">
      <c r="A28" s="42"/>
      <c r="B28" s="42"/>
      <c r="C28" s="42"/>
      <c r="D28" s="42"/>
      <c r="E28" s="42"/>
      <c r="F28" s="42"/>
      <c r="G28" s="60"/>
      <c r="H28" s="60"/>
      <c r="I28" s="60"/>
      <c r="J28" s="66"/>
      <c r="K28" s="42"/>
    </row>
    <row r="29" spans="1:12" x14ac:dyDescent="0.25">
      <c r="A29" s="42"/>
      <c r="B29" s="42"/>
      <c r="C29" s="42"/>
      <c r="D29" s="42"/>
      <c r="E29" s="42"/>
      <c r="F29" s="42"/>
      <c r="G29" s="45" t="s">
        <v>170</v>
      </c>
      <c r="H29" s="49" t="s">
        <v>158</v>
      </c>
      <c r="I29" s="49" t="s">
        <v>159</v>
      </c>
      <c r="J29" s="65" t="s">
        <v>160</v>
      </c>
      <c r="K29" s="42"/>
    </row>
    <row r="30" spans="1:12" x14ac:dyDescent="0.25">
      <c r="A30" s="42"/>
      <c r="B30" s="42"/>
      <c r="C30" s="42"/>
      <c r="D30" s="42"/>
      <c r="E30" s="42"/>
      <c r="F30" s="42"/>
      <c r="G30" s="45" t="s">
        <v>175</v>
      </c>
      <c r="H30" s="46">
        <v>1100</v>
      </c>
      <c r="I30" s="46">
        <v>1200</v>
      </c>
      <c r="J30" s="64">
        <f>FraisExploitation[[#This Row],[ESTIMÉ]]-FraisExploitation[[#This Row],[RÉEL]]</f>
        <v>-100</v>
      </c>
      <c r="K30" s="42"/>
    </row>
    <row r="31" spans="1:12" x14ac:dyDescent="0.25">
      <c r="A31" s="42"/>
      <c r="B31" s="42"/>
      <c r="C31" s="42"/>
      <c r="D31" s="42"/>
      <c r="E31" s="42"/>
      <c r="F31" s="42"/>
      <c r="G31" s="45" t="s">
        <v>171</v>
      </c>
      <c r="H31" s="46"/>
      <c r="I31" s="46"/>
      <c r="J31" s="64">
        <f>FraisExploitation[[#This Row],[ESTIMÉ]]-FraisExploitation[[#This Row],[RÉEL]]</f>
        <v>0</v>
      </c>
      <c r="K31" s="42"/>
    </row>
    <row r="32" spans="1:12" x14ac:dyDescent="0.25">
      <c r="A32" s="42"/>
      <c r="B32" s="42"/>
      <c r="C32" s="42"/>
      <c r="D32" s="42"/>
      <c r="E32" s="42"/>
      <c r="F32" s="42"/>
      <c r="G32" s="45" t="s">
        <v>176</v>
      </c>
      <c r="H32" s="46"/>
      <c r="I32" s="46"/>
      <c r="J32" s="64">
        <f>FraisExploitation[[#This Row],[ESTIMÉ]]-FraisExploitation[[#This Row],[RÉEL]]</f>
        <v>0</v>
      </c>
      <c r="K32" s="42"/>
    </row>
    <row r="33" spans="1:11" x14ac:dyDescent="0.25">
      <c r="A33" s="42"/>
      <c r="B33" s="42"/>
      <c r="C33" s="42"/>
      <c r="D33" s="42"/>
      <c r="E33" s="42"/>
      <c r="F33" s="42"/>
      <c r="G33" s="45" t="s">
        <v>177</v>
      </c>
      <c r="H33" s="46"/>
      <c r="I33" s="46"/>
      <c r="J33" s="64">
        <f>FraisExploitation[[#This Row],[ESTIMÉ]]-FraisExploitation[[#This Row],[RÉEL]]</f>
        <v>0</v>
      </c>
      <c r="K33" s="42"/>
    </row>
    <row r="34" spans="1:11" x14ac:dyDescent="0.25">
      <c r="A34" s="42"/>
      <c r="B34" s="42"/>
      <c r="C34" s="42"/>
      <c r="D34" s="42"/>
      <c r="E34" s="42"/>
      <c r="F34" s="42"/>
      <c r="G34" s="45" t="s">
        <v>173</v>
      </c>
      <c r="H34" s="46"/>
      <c r="I34" s="46"/>
      <c r="J34" s="64">
        <f>FraisExploitation[[#This Row],[ESTIMÉ]]-FraisExploitation[[#This Row],[RÉEL]]</f>
        <v>0</v>
      </c>
      <c r="K34" s="42"/>
    </row>
    <row r="35" spans="1:11" x14ac:dyDescent="0.25">
      <c r="A35" s="42"/>
      <c r="B35" s="42"/>
      <c r="C35" s="42"/>
      <c r="D35" s="42"/>
      <c r="E35" s="42"/>
      <c r="F35" s="42"/>
      <c r="G35" s="45" t="s">
        <v>172</v>
      </c>
      <c r="H35" s="46"/>
      <c r="I35" s="46"/>
      <c r="J35" s="64">
        <f>FraisExploitation[[#This Row],[ESTIMÉ]]-FraisExploitation[[#This Row],[RÉEL]]</f>
        <v>0</v>
      </c>
      <c r="K35" s="42"/>
    </row>
    <row r="36" spans="1:11" x14ac:dyDescent="0.25">
      <c r="A36" s="42"/>
      <c r="B36" s="42"/>
      <c r="C36" s="42"/>
      <c r="D36" s="42"/>
      <c r="E36" s="42"/>
      <c r="F36" s="42"/>
      <c r="G36" s="45" t="s">
        <v>181</v>
      </c>
      <c r="H36" s="46"/>
      <c r="I36" s="46"/>
      <c r="J36" s="64">
        <f>FraisExploitation[[#This Row],[ESTIMÉ]]-FraisExploitation[[#This Row],[RÉEL]]</f>
        <v>0</v>
      </c>
      <c r="K36" s="42"/>
    </row>
    <row r="37" spans="1:11" x14ac:dyDescent="0.25">
      <c r="A37" s="42"/>
      <c r="B37" s="42"/>
      <c r="C37" s="42"/>
      <c r="D37" s="42"/>
      <c r="E37" s="56"/>
      <c r="F37" s="42"/>
      <c r="G37" s="45" t="s">
        <v>178</v>
      </c>
      <c r="H37" s="46"/>
      <c r="I37" s="46"/>
      <c r="J37" s="64">
        <f>FraisExploitation[[#This Row],[ESTIMÉ]]-FraisExploitation[[#This Row],[RÉEL]]</f>
        <v>0</v>
      </c>
      <c r="K37" s="42"/>
    </row>
    <row r="38" spans="1:11" x14ac:dyDescent="0.25">
      <c r="A38" s="42"/>
      <c r="B38" s="42"/>
      <c r="C38" s="42"/>
      <c r="D38" s="57"/>
      <c r="E38" s="42"/>
      <c r="F38" s="42"/>
      <c r="G38" s="45" t="s">
        <v>179</v>
      </c>
      <c r="H38" s="46"/>
      <c r="I38" s="46"/>
      <c r="J38" s="64">
        <f>FraisExploitation[[#This Row],[ESTIMÉ]]-FraisExploitation[[#This Row],[RÉEL]]</f>
        <v>0</v>
      </c>
      <c r="K38" s="42"/>
    </row>
    <row r="39" spans="1:11" x14ac:dyDescent="0.25">
      <c r="A39" s="42"/>
      <c r="B39" s="42"/>
      <c r="C39" s="42"/>
      <c r="D39" s="57"/>
      <c r="E39" s="42"/>
      <c r="F39" s="42"/>
      <c r="G39" s="45" t="s">
        <v>180</v>
      </c>
      <c r="H39" s="46"/>
      <c r="I39" s="46"/>
      <c r="J39" s="64">
        <f>FraisExploitation[[#This Row],[ESTIMÉ]]-FraisExploitation[[#This Row],[RÉEL]]</f>
        <v>0</v>
      </c>
      <c r="K39" s="42"/>
    </row>
    <row r="40" spans="1:11" x14ac:dyDescent="0.25">
      <c r="A40" s="42"/>
      <c r="B40" s="42"/>
      <c r="C40" s="42"/>
      <c r="D40" s="57"/>
      <c r="E40" s="42"/>
      <c r="F40" s="42"/>
      <c r="G40" s="45"/>
      <c r="H40" s="46"/>
      <c r="I40" s="46"/>
      <c r="J40" s="64">
        <f>FraisExploitation[[#This Row],[ESTIMÉ]]-FraisExploitation[[#This Row],[RÉEL]]</f>
        <v>0</v>
      </c>
      <c r="K40" s="42"/>
    </row>
    <row r="41" spans="1:11" x14ac:dyDescent="0.25">
      <c r="A41" s="42"/>
      <c r="B41" s="58"/>
      <c r="C41" s="58"/>
      <c r="D41" s="58"/>
      <c r="E41" s="56"/>
      <c r="F41" s="42"/>
      <c r="G41" s="42" t="s">
        <v>6</v>
      </c>
      <c r="H41" s="55">
        <f>SUBTOTAL(109,FraisExploitation[ESTIMÉ])</f>
        <v>1100</v>
      </c>
      <c r="I41" s="55">
        <f>SUBTOTAL(109,FraisExploitation[RÉEL])</f>
        <v>1200</v>
      </c>
      <c r="J41" s="62">
        <f>SUBTOTAL(109,FraisExploitation[DIFFÉRENCE])</f>
        <v>-100</v>
      </c>
      <c r="K41" s="42"/>
    </row>
    <row r="42" spans="1:11" ht="15.75" x14ac:dyDescent="0.25">
      <c r="A42" s="42"/>
      <c r="B42" s="59"/>
      <c r="C42" s="59"/>
      <c r="D42" s="59"/>
      <c r="E42" s="59"/>
      <c r="F42" s="42"/>
      <c r="G42" s="42" t="s">
        <v>174</v>
      </c>
      <c r="H42" s="42"/>
      <c r="I42" s="42"/>
      <c r="J42" s="62"/>
      <c r="K42" s="42"/>
    </row>
    <row r="43" spans="1:11" x14ac:dyDescent="0.25">
      <c r="A43" s="42"/>
      <c r="B43" s="43"/>
      <c r="C43" s="44"/>
      <c r="D43" s="44"/>
      <c r="E43" s="44"/>
      <c r="F43" s="42"/>
      <c r="G43" s="42"/>
      <c r="H43" s="42"/>
      <c r="I43" s="42"/>
      <c r="J43" s="62"/>
      <c r="K43" s="42"/>
    </row>
    <row r="44" spans="1:11" x14ac:dyDescent="0.25">
      <c r="A44" s="42"/>
      <c r="B44" s="45"/>
      <c r="C44" s="50"/>
      <c r="D44" s="51"/>
      <c r="E44" s="46"/>
      <c r="F44" s="42"/>
      <c r="G44" s="42"/>
      <c r="H44" s="42"/>
      <c r="I44" s="42"/>
      <c r="J44" s="62"/>
      <c r="K44" s="42"/>
    </row>
    <row r="45" spans="1:11" x14ac:dyDescent="0.25">
      <c r="A45" s="42"/>
      <c r="B45" s="45"/>
      <c r="C45" s="48"/>
      <c r="D45" s="51"/>
      <c r="E45" s="46"/>
      <c r="F45" s="42"/>
      <c r="K45" s="42"/>
    </row>
    <row r="46" spans="1:11" x14ac:dyDescent="0.25">
      <c r="A46" s="42"/>
      <c r="B46" s="45"/>
      <c r="C46" s="48"/>
      <c r="D46" s="51"/>
      <c r="E46" s="46"/>
      <c r="F46" s="42"/>
      <c r="K46" s="42"/>
    </row>
    <row r="47" spans="1:11" x14ac:dyDescent="0.25">
      <c r="A47" s="42"/>
      <c r="B47" s="45"/>
      <c r="C47" s="48"/>
      <c r="D47" s="51"/>
      <c r="E47" s="46"/>
      <c r="F47" s="42"/>
      <c r="K47" s="42"/>
    </row>
    <row r="48" spans="1:11" x14ac:dyDescent="0.25">
      <c r="A48" s="42"/>
      <c r="B48" s="45"/>
      <c r="C48" s="48"/>
      <c r="D48" s="51"/>
      <c r="E48" s="46"/>
      <c r="F48" s="42"/>
      <c r="K48" s="42"/>
    </row>
    <row r="49" spans="1:12" x14ac:dyDescent="0.25">
      <c r="A49" s="42"/>
      <c r="B49" s="45"/>
      <c r="C49" s="52"/>
      <c r="D49" s="53"/>
      <c r="E49" s="46"/>
      <c r="F49" s="42"/>
      <c r="K49" s="42"/>
    </row>
    <row r="50" spans="1:12" x14ac:dyDescent="0.25">
      <c r="A50" s="42"/>
      <c r="B50" s="42"/>
      <c r="C50" s="42"/>
      <c r="D50" s="42"/>
      <c r="E50" s="42"/>
      <c r="F50" s="42"/>
      <c r="K50" s="42"/>
      <c r="L50" s="42"/>
    </row>
    <row r="51" spans="1:12" x14ac:dyDescent="0.25">
      <c r="A51" s="42"/>
      <c r="B51" s="42"/>
      <c r="C51" s="42"/>
      <c r="D51" s="42"/>
      <c r="E51" s="42"/>
      <c r="F51" s="42"/>
      <c r="K51" s="42"/>
      <c r="L51" s="42"/>
    </row>
    <row r="52" spans="1:12" x14ac:dyDescent="0.25">
      <c r="A52" s="42"/>
      <c r="B52" s="42"/>
      <c r="C52" s="42"/>
      <c r="D52" s="42"/>
      <c r="E52" s="42"/>
      <c r="F52" s="42"/>
      <c r="K52" s="42"/>
      <c r="L52" s="42"/>
    </row>
  </sheetData>
  <mergeCells count="1">
    <mergeCell ref="B41:D41"/>
  </mergeCells>
  <pageMargins left="0.7" right="0.7" top="0.75" bottom="0.75" header="0.3" footer="0.3"/>
  <drawing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4" id="{91354439-5BB4-4BE8-83B2-8F0EAB8370C8}">
            <x14:iconSet iconSet="3Flags" custom="1">
              <x14:cfvo type="percent">
                <xm:f>0</xm:f>
              </x14:cfvo>
              <x14:cfvo type="num">
                <xm:f>0</xm:f>
              </x14:cfvo>
              <x14:cfvo type="num">
                <xm:f>0</xm:f>
              </x14:cfvo>
              <x14:cfIcon iconSet="3Flags" iconId="0"/>
              <x14:cfIcon iconSet="NoIcons" iconId="0"/>
              <x14:cfIcon iconSet="NoIcons" iconId="0"/>
            </x14:iconSet>
          </x14:cfRule>
          <xm:sqref>J30:J40 J26 J17:J22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G8"/>
  <sheetViews>
    <sheetView workbookViewId="0">
      <selection activeCell="L4" sqref="L4"/>
    </sheetView>
  </sheetViews>
  <sheetFormatPr baseColWidth="10" defaultRowHeight="15" x14ac:dyDescent="0.25"/>
  <sheetData>
    <row r="8" spans="7:7" ht="23.25" x14ac:dyDescent="0.35">
      <c r="G8" s="2" t="s">
        <v>45</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B8:G27"/>
  <sheetViews>
    <sheetView showGridLines="0" workbookViewId="0">
      <selection activeCell="I18" sqref="I18"/>
    </sheetView>
  </sheetViews>
  <sheetFormatPr baseColWidth="10" defaultColWidth="15.140625" defaultRowHeight="15" x14ac:dyDescent="0.25"/>
  <cols>
    <col min="6" max="6" width="46.140625" customWidth="1"/>
    <col min="7" max="7" width="17" customWidth="1"/>
    <col min="8" max="8" width="15.140625" customWidth="1"/>
  </cols>
  <sheetData>
    <row r="8" spans="2:7" ht="23.25" x14ac:dyDescent="0.35">
      <c r="F8" s="2" t="s">
        <v>37</v>
      </c>
    </row>
    <row r="11" spans="2:7" ht="15.75" x14ac:dyDescent="0.25">
      <c r="B11" s="8" t="s">
        <v>58</v>
      </c>
      <c r="C11" s="8" t="s">
        <v>38</v>
      </c>
      <c r="D11" s="8" t="s">
        <v>6</v>
      </c>
      <c r="F11" s="11" t="s">
        <v>40</v>
      </c>
      <c r="G11" s="13">
        <v>200</v>
      </c>
    </row>
    <row r="12" spans="2:7" ht="15.75" x14ac:dyDescent="0.25">
      <c r="B12" s="3"/>
      <c r="C12" s="9">
        <v>0.01</v>
      </c>
      <c r="D12" s="10">
        <f>Tableau23[[#This Row],[Nombre]]*Tableau23[[#This Row],[€]]</f>
        <v>0</v>
      </c>
      <c r="F12" s="12" t="s">
        <v>59</v>
      </c>
      <c r="G12" s="14">
        <v>781.03</v>
      </c>
    </row>
    <row r="13" spans="2:7" ht="15.75" x14ac:dyDescent="0.25">
      <c r="B13" s="3">
        <v>2</v>
      </c>
      <c r="C13" s="9">
        <v>0.02</v>
      </c>
      <c r="D13" s="10">
        <f>Tableau23[[#This Row],[Nombre]]*Tableau23[[#This Row],[€]]</f>
        <v>0.04</v>
      </c>
      <c r="F13" s="11" t="s">
        <v>60</v>
      </c>
      <c r="G13" s="13">
        <f>D27</f>
        <v>791.04</v>
      </c>
    </row>
    <row r="14" spans="2:7" ht="18.75" x14ac:dyDescent="0.3">
      <c r="B14" s="3">
        <v>10</v>
      </c>
      <c r="C14" s="9">
        <v>0.05</v>
      </c>
      <c r="D14" s="10">
        <f>Tableau23[[#This Row],[Nombre]]*Tableau23[[#This Row],[€]]</f>
        <v>0.5</v>
      </c>
      <c r="F14" s="12" t="s">
        <v>61</v>
      </c>
      <c r="G14" s="16">
        <f>ABS(G13-G12)</f>
        <v>10.009999999999991</v>
      </c>
    </row>
    <row r="15" spans="2:7" ht="23.25" x14ac:dyDescent="0.35">
      <c r="B15" s="3"/>
      <c r="C15" s="9">
        <v>0.1</v>
      </c>
      <c r="D15" s="10">
        <f>Tableau23[[#This Row],[Nombre]]*Tableau23[[#This Row],[€]]</f>
        <v>0</v>
      </c>
      <c r="F15" s="17" t="s">
        <v>41</v>
      </c>
      <c r="G15" s="15">
        <f>G13-G11</f>
        <v>591.04</v>
      </c>
    </row>
    <row r="16" spans="2:7" ht="15.75" x14ac:dyDescent="0.25">
      <c r="B16" s="3"/>
      <c r="C16" s="9">
        <v>0.2</v>
      </c>
      <c r="D16" s="10">
        <f>Tableau23[[#This Row],[Nombre]]*Tableau23[[#This Row],[€]]</f>
        <v>0</v>
      </c>
    </row>
    <row r="17" spans="2:7" ht="15.75" x14ac:dyDescent="0.25">
      <c r="B17" s="3">
        <v>23</v>
      </c>
      <c r="C17" s="9">
        <v>0.5</v>
      </c>
      <c r="D17" s="10">
        <f>Tableau23[[#This Row],[Nombre]]*Tableau23[[#This Row],[€]]</f>
        <v>11.5</v>
      </c>
    </row>
    <row r="18" spans="2:7" ht="15.75" x14ac:dyDescent="0.25">
      <c r="B18" s="3">
        <v>3</v>
      </c>
      <c r="C18" s="9">
        <v>1</v>
      </c>
      <c r="D18" s="10">
        <f>Tableau23[[#This Row],[Nombre]]*Tableau23[[#This Row],[€]]</f>
        <v>3</v>
      </c>
      <c r="F18" s="12" t="s">
        <v>62</v>
      </c>
      <c r="G18" s="18">
        <v>3</v>
      </c>
    </row>
    <row r="19" spans="2:7" ht="23.25" x14ac:dyDescent="0.35">
      <c r="B19" s="3">
        <v>8</v>
      </c>
      <c r="C19" s="9">
        <v>2</v>
      </c>
      <c r="D19" s="10">
        <f>Tableau23[[#This Row],[Nombre]]*Tableau23[[#This Row],[€]]</f>
        <v>16</v>
      </c>
      <c r="F19" s="17" t="s">
        <v>6</v>
      </c>
      <c r="G19" s="15">
        <v>39</v>
      </c>
    </row>
    <row r="20" spans="2:7" ht="15.75" x14ac:dyDescent="0.25">
      <c r="B20" s="3">
        <v>6</v>
      </c>
      <c r="C20" s="9">
        <v>5</v>
      </c>
      <c r="D20" s="10">
        <f>Tableau23[[#This Row],[Nombre]]*Tableau23[[#This Row],[€]]</f>
        <v>30</v>
      </c>
    </row>
    <row r="21" spans="2:7" ht="15.75" x14ac:dyDescent="0.25">
      <c r="B21" s="3">
        <v>3</v>
      </c>
      <c r="C21" s="9">
        <v>10</v>
      </c>
      <c r="D21" s="10">
        <f>Tableau23[[#This Row],[Nombre]]*Tableau23[[#This Row],[€]]</f>
        <v>30</v>
      </c>
    </row>
    <row r="22" spans="2:7" ht="15.75" x14ac:dyDescent="0.25">
      <c r="B22" s="3">
        <v>5</v>
      </c>
      <c r="C22" s="9">
        <v>20</v>
      </c>
      <c r="D22" s="10">
        <f>Tableau23[[#This Row],[Nombre]]*Tableau23[[#This Row],[€]]</f>
        <v>100</v>
      </c>
    </row>
    <row r="23" spans="2:7" ht="15.75" x14ac:dyDescent="0.25">
      <c r="B23" s="3">
        <v>2</v>
      </c>
      <c r="C23" s="9">
        <v>50</v>
      </c>
      <c r="D23" s="10">
        <f>Tableau23[[#This Row],[Nombre]]*Tableau23[[#This Row],[€]]</f>
        <v>100</v>
      </c>
    </row>
    <row r="24" spans="2:7" ht="15.75" x14ac:dyDescent="0.25">
      <c r="B24" s="3"/>
      <c r="C24" s="9">
        <v>100</v>
      </c>
      <c r="D24" s="10">
        <f>Tableau23[[#This Row],[Nombre]]*Tableau23[[#This Row],[€]]</f>
        <v>0</v>
      </c>
    </row>
    <row r="25" spans="2:7" ht="15.75" x14ac:dyDescent="0.25">
      <c r="B25" s="3"/>
      <c r="C25" s="9">
        <v>200</v>
      </c>
      <c r="D25" s="10">
        <f>Tableau23[[#This Row],[Nombre]]*Tableau23[[#This Row],[€]]</f>
        <v>0</v>
      </c>
    </row>
    <row r="26" spans="2:7" ht="15.75" x14ac:dyDescent="0.25">
      <c r="B26" s="3">
        <v>1</v>
      </c>
      <c r="C26" s="9">
        <v>500</v>
      </c>
      <c r="D26" s="10">
        <f>Tableau23[[#This Row],[Nombre]]*Tableau23[[#This Row],[€]]</f>
        <v>500</v>
      </c>
    </row>
    <row r="27" spans="2:7" ht="21" x14ac:dyDescent="0.35">
      <c r="B27" s="38" t="s">
        <v>39</v>
      </c>
      <c r="C27" s="38"/>
      <c r="D27" s="19">
        <f>SUM(Tableau23[Total])</f>
        <v>791.04</v>
      </c>
    </row>
  </sheetData>
  <mergeCells count="1">
    <mergeCell ref="B27:C27"/>
  </mergeCells>
  <conditionalFormatting sqref="G14">
    <cfRule type="cellIs" dxfId="17" priority="1" operator="greaterThan">
      <formula>10</formula>
    </cfRule>
    <cfRule type="cellIs" dxfId="16" priority="2" operator="equal">
      <formula>0</formula>
    </cfRule>
    <cfRule type="cellIs" dxfId="15" priority="3" operator="between">
      <formula>0</formula>
      <formula>10</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2"/>
  <sheetViews>
    <sheetView workbookViewId="0">
      <selection activeCell="A3" sqref="A3"/>
    </sheetView>
  </sheetViews>
  <sheetFormatPr baseColWidth="10" defaultRowHeight="15" x14ac:dyDescent="0.25"/>
  <sheetData>
    <row r="1" spans="1:1" x14ac:dyDescent="0.25">
      <c r="A1" t="s">
        <v>3</v>
      </c>
    </row>
    <row r="2" spans="1:1" x14ac:dyDescent="0.25">
      <c r="A2" t="s">
        <v>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21"/>
  <sheetViews>
    <sheetView workbookViewId="0">
      <selection activeCell="G14" sqref="G14"/>
    </sheetView>
  </sheetViews>
  <sheetFormatPr baseColWidth="10" defaultRowHeight="15" x14ac:dyDescent="0.25"/>
  <cols>
    <col min="1" max="1" width="19.7109375" customWidth="1"/>
    <col min="2" max="2" width="22" customWidth="1"/>
  </cols>
  <sheetData>
    <row r="1" spans="1:2" x14ac:dyDescent="0.25">
      <c r="A1" t="s">
        <v>12</v>
      </c>
    </row>
    <row r="3" spans="1:2" x14ac:dyDescent="0.25">
      <c r="A3">
        <v>1</v>
      </c>
      <c r="B3" t="s">
        <v>13</v>
      </c>
    </row>
    <row r="4" spans="1:2" x14ac:dyDescent="0.25">
      <c r="A4">
        <v>2</v>
      </c>
      <c r="B4" t="s">
        <v>14</v>
      </c>
    </row>
    <row r="5" spans="1:2" x14ac:dyDescent="0.25">
      <c r="A5">
        <v>3</v>
      </c>
      <c r="B5" t="s">
        <v>31</v>
      </c>
    </row>
    <row r="6" spans="1:2" x14ac:dyDescent="0.25">
      <c r="A6">
        <v>4</v>
      </c>
      <c r="B6" t="s">
        <v>30</v>
      </c>
    </row>
    <row r="7" spans="1:2" x14ac:dyDescent="0.25">
      <c r="A7">
        <v>5</v>
      </c>
      <c r="B7" t="s">
        <v>29</v>
      </c>
    </row>
    <row r="8" spans="1:2" x14ac:dyDescent="0.25">
      <c r="A8">
        <v>6</v>
      </c>
      <c r="B8" t="s">
        <v>28</v>
      </c>
    </row>
    <row r="9" spans="1:2" x14ac:dyDescent="0.25">
      <c r="A9">
        <v>7</v>
      </c>
      <c r="B9" t="s">
        <v>27</v>
      </c>
    </row>
    <row r="10" spans="1:2" x14ac:dyDescent="0.25">
      <c r="A10">
        <v>8</v>
      </c>
      <c r="B10" t="s">
        <v>26</v>
      </c>
    </row>
    <row r="11" spans="1:2" x14ac:dyDescent="0.25">
      <c r="A11">
        <v>9</v>
      </c>
      <c r="B11" t="s">
        <v>25</v>
      </c>
    </row>
    <row r="12" spans="1:2" x14ac:dyDescent="0.25">
      <c r="A12">
        <v>10</v>
      </c>
      <c r="B12" t="s">
        <v>24</v>
      </c>
    </row>
    <row r="13" spans="1:2" x14ac:dyDescent="0.25">
      <c r="A13">
        <v>11</v>
      </c>
      <c r="B13" t="s">
        <v>22</v>
      </c>
    </row>
    <row r="14" spans="1:2" x14ac:dyDescent="0.25">
      <c r="A14">
        <v>12</v>
      </c>
      <c r="B14" t="s">
        <v>21</v>
      </c>
    </row>
    <row r="15" spans="1:2" x14ac:dyDescent="0.25">
      <c r="A15">
        <v>13</v>
      </c>
      <c r="B15" t="s">
        <v>23</v>
      </c>
    </row>
    <row r="16" spans="1:2" x14ac:dyDescent="0.25">
      <c r="A16">
        <v>14</v>
      </c>
      <c r="B16" t="s">
        <v>20</v>
      </c>
    </row>
    <row r="17" spans="1:2" x14ac:dyDescent="0.25">
      <c r="A17">
        <v>15</v>
      </c>
      <c r="B17" t="s">
        <v>19</v>
      </c>
    </row>
    <row r="18" spans="1:2" x14ac:dyDescent="0.25">
      <c r="A18">
        <v>16</v>
      </c>
      <c r="B18" t="s">
        <v>18</v>
      </c>
    </row>
    <row r="19" spans="1:2" x14ac:dyDescent="0.25">
      <c r="A19">
        <v>17</v>
      </c>
      <c r="B19" t="s">
        <v>17</v>
      </c>
    </row>
    <row r="20" spans="1:2" x14ac:dyDescent="0.25">
      <c r="A20">
        <v>18</v>
      </c>
      <c r="B20" t="s">
        <v>16</v>
      </c>
    </row>
    <row r="21" spans="1:2" x14ac:dyDescent="0.25">
      <c r="A21">
        <v>19</v>
      </c>
      <c r="B21"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Menu</vt:lpstr>
      <vt:lpstr>Gestion des produits</vt:lpstr>
      <vt:lpstr>Gestion des fournisseurs</vt:lpstr>
      <vt:lpstr>Gestion des stocks</vt:lpstr>
      <vt:lpstr>Journal des achats</vt:lpstr>
      <vt:lpstr>Journal des ventes</vt:lpstr>
      <vt:lpstr>Vue des stocks</vt:lpstr>
      <vt:lpstr>Bilan</vt:lpstr>
      <vt:lpstr>Budget Mensuel</vt:lpstr>
      <vt:lpstr>Tableau de bord</vt:lpstr>
      <vt:lpstr>Fiche de caisse</vt:lpstr>
      <vt:lpstr>Calcul du cout des stocks</vt:lpstr>
      <vt:lpstr>Code caisse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Claire</dc:creator>
  <cp:lastModifiedBy>marine mansier</cp:lastModifiedBy>
  <dcterms:created xsi:type="dcterms:W3CDTF">2013-04-08T14:38:55Z</dcterms:created>
  <dcterms:modified xsi:type="dcterms:W3CDTF">2013-04-24T15:05:57Z</dcterms:modified>
</cp:coreProperties>
</file>