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3.xml" ContentType="application/vnd.openxmlformats-officedocument.drawing+xml"/>
  <Override PartName="/xl/tables/table20.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21.xml" ContentType="application/vnd.openxmlformats-officedocument.spreadsheetml.table+xml"/>
  <Override PartName="/xl/drawings/drawing6.xml" ContentType="application/vnd.openxmlformats-officedocument.drawing+xml"/>
  <Override PartName="/xl/tables/table22.xml" ContentType="application/vnd.openxmlformats-officedocument.spreadsheetml.table+xml"/>
  <Override PartName="/xl/drawings/drawing7.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drawings/drawing8.xml" ContentType="application/vnd.openxmlformats-officedocument.drawing+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drawings/drawing9.xml" ContentType="application/vnd.openxmlformats-officedocument.drawing+xml"/>
  <Override PartName="/xl/ctrlProps/ctrlProp1.xml" ContentType="application/vnd.ms-excel.controlproperties+xml"/>
  <Override PartName="/xl/tables/table29.xml" ContentType="application/vnd.openxmlformats-officedocument.spreadsheetml.table+xml"/>
  <Override PartName="/xl/drawings/drawing10.xml" ContentType="application/vnd.openxmlformats-officedocument.drawing+xml"/>
  <Override PartName="/xl/tables/table30.xml" ContentType="application/vnd.openxmlformats-officedocument.spreadsheetml.table+xml"/>
  <Override PartName="/xl/drawings/drawing11.xml" ContentType="application/vnd.openxmlformats-officedocument.drawing+xml"/>
  <Override PartName="/xl/slicers/slicer2.xml" ContentType="application/vnd.ms-excel.slicer+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480" yWindow="30" windowWidth="14115" windowHeight="7230" tabRatio="932" activeTab="3"/>
  </bookViews>
  <sheets>
    <sheet name="Menu" sheetId="4" r:id="rId1"/>
    <sheet name="Gestion des produits" sheetId="8" r:id="rId2"/>
    <sheet name="Gestion des fournisseurs" sheetId="10" r:id="rId3"/>
    <sheet name="Gestion des stocks" sheetId="1" r:id="rId4"/>
    <sheet name="Journal des achats" sheetId="15" r:id="rId5"/>
    <sheet name="Journal des ventes" sheetId="16" r:id="rId6"/>
    <sheet name="Vue des stocks" sheetId="17" r:id="rId7"/>
    <sheet name="Budget Mensuel" sheetId="5" r:id="rId8"/>
    <sheet name="Fiche de caisse" sheetId="14" r:id="rId9"/>
    <sheet name="Historique journée" sheetId="18" r:id="rId10"/>
    <sheet name="Tableau de bord" sheetId="13" r:id="rId11"/>
    <sheet name="Code caisse" sheetId="9" r:id="rId12"/>
    <sheet name="TableauxDynamiques" sheetId="20" r:id="rId13"/>
    <sheet name="BudgetDynamique" sheetId="21" r:id="rId14"/>
  </sheets>
  <definedNames>
    <definedName name="Segment_Année">#N/A</definedName>
    <definedName name="Segment_Année1">#N/A</definedName>
    <definedName name="Segment_Code_caisse">#N/A</definedName>
    <definedName name="Segment_Mois">#N/A</definedName>
    <definedName name="Segment_Mois1">#N/A</definedName>
    <definedName name="ZoneProduits">'Gestion des produits'!$D$15:$G$15376</definedName>
  </definedNames>
  <calcPr calcId="145621"/>
  <pivotCaches>
    <pivotCache cacheId="0" r:id="rId15"/>
    <pivotCache cacheId="1" r:id="rId16"/>
  </pivotCaches>
  <extLst>
    <ext xmlns:x14="http://schemas.microsoft.com/office/spreadsheetml/2009/9/main" uri="{BBE1A952-AA13-448e-AADC-164F8A28A991}">
      <x14:slicerCaches>
        <x14:slicerCache r:id="rId17"/>
        <x14:slicerCache r:id="rId18"/>
        <x14:slicerCache r:id="rId19"/>
        <x14:slicerCache r:id="rId20"/>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H22" i="17" l="1"/>
  <c r="I22" i="17"/>
  <c r="K29" i="16"/>
  <c r="N29" i="16"/>
  <c r="O29" i="16"/>
  <c r="C21" i="10"/>
  <c r="C24" i="8"/>
  <c r="C19" i="8"/>
  <c r="I23" i="5"/>
  <c r="J31" i="5" l="1"/>
  <c r="O18" i="16"/>
  <c r="O19" i="16"/>
  <c r="O20" i="16"/>
  <c r="O21" i="16"/>
  <c r="O22" i="16"/>
  <c r="O23" i="16"/>
  <c r="O24" i="16"/>
  <c r="O25" i="16"/>
  <c r="O26" i="16"/>
  <c r="O27" i="16"/>
  <c r="O28" i="16"/>
  <c r="N18" i="16"/>
  <c r="N19" i="16"/>
  <c r="N20" i="16"/>
  <c r="N21" i="16"/>
  <c r="N22" i="16"/>
  <c r="N23" i="16"/>
  <c r="N24" i="16"/>
  <c r="N25" i="16"/>
  <c r="N26" i="16"/>
  <c r="N27" i="16"/>
  <c r="N28" i="16"/>
  <c r="H21" i="17"/>
  <c r="K28" i="16"/>
  <c r="I18" i="17"/>
  <c r="H18" i="17"/>
  <c r="H19" i="17"/>
  <c r="H20" i="17"/>
  <c r="K27" i="16" l="1"/>
  <c r="K26" i="16"/>
  <c r="K19" i="16"/>
  <c r="K20" i="16"/>
  <c r="K21" i="16"/>
  <c r="K22" i="16"/>
  <c r="K23" i="16"/>
  <c r="K24" i="16"/>
  <c r="K25" i="16"/>
  <c r="K18" i="16"/>
  <c r="H14" i="18"/>
  <c r="H15" i="18" s="1"/>
  <c r="H16" i="18" s="1"/>
  <c r="H17" i="18" s="1"/>
  <c r="H18" i="18" s="1"/>
  <c r="H19" i="18" s="1"/>
  <c r="H20" i="18" s="1"/>
  <c r="H21" i="18" s="1"/>
  <c r="C20" i="10"/>
  <c r="C19" i="10"/>
  <c r="C18" i="10"/>
  <c r="C17" i="10"/>
  <c r="C30" i="8"/>
  <c r="C27" i="8"/>
  <c r="C23" i="8"/>
  <c r="C22" i="8"/>
  <c r="C18" i="8"/>
  <c r="C17" i="8"/>
  <c r="C16" i="8"/>
  <c r="J30" i="5" l="1"/>
  <c r="J29" i="5"/>
  <c r="J26" i="5" l="1"/>
  <c r="J35" i="5"/>
  <c r="J36" i="5" s="1"/>
  <c r="J28" i="5"/>
  <c r="J27" i="5"/>
  <c r="J49" i="5"/>
  <c r="J48" i="5"/>
  <c r="J47" i="5"/>
  <c r="J46" i="5"/>
  <c r="J45" i="5"/>
  <c r="J44" i="5"/>
  <c r="J43" i="5"/>
  <c r="J42" i="5"/>
  <c r="J41" i="5"/>
  <c r="J40" i="5"/>
  <c r="J39" i="5"/>
  <c r="I50" i="5"/>
  <c r="H50" i="5"/>
  <c r="I36" i="5"/>
  <c r="H36" i="5"/>
  <c r="I32" i="5"/>
  <c r="D23" i="5" s="1"/>
  <c r="H32" i="5"/>
  <c r="C23" i="5" s="1"/>
  <c r="J25" i="5"/>
  <c r="J24" i="5"/>
  <c r="J23" i="5"/>
  <c r="C24" i="5" l="1"/>
  <c r="C25" i="5" s="1"/>
  <c r="J50" i="5"/>
  <c r="D24" i="5"/>
  <c r="J32" i="5"/>
  <c r="E23" i="5"/>
  <c r="E24" i="5" l="1"/>
  <c r="D25" i="5"/>
  <c r="E25" i="5"/>
  <c r="D22" i="14" l="1"/>
  <c r="D23" i="14"/>
  <c r="D24" i="14"/>
  <c r="D25" i="14"/>
  <c r="D26" i="14"/>
  <c r="D27" i="14"/>
  <c r="D28" i="14"/>
  <c r="D29" i="14"/>
  <c r="D30" i="14"/>
  <c r="D31" i="14"/>
  <c r="D32" i="14"/>
  <c r="D33" i="14"/>
  <c r="D34" i="14"/>
  <c r="D35" i="14"/>
  <c r="D36" i="14"/>
  <c r="D37" i="14" l="1"/>
  <c r="D73" i="8"/>
  <c r="C73" i="8"/>
  <c r="D70" i="8"/>
  <c r="C70" i="8"/>
  <c r="D67" i="8"/>
  <c r="C67" i="8"/>
  <c r="D64" i="8"/>
  <c r="C64" i="8"/>
  <c r="D61" i="8"/>
  <c r="C61" i="8"/>
  <c r="D58" i="8"/>
  <c r="C58" i="8"/>
  <c r="D55" i="8"/>
  <c r="C55" i="8"/>
  <c r="D52" i="8"/>
  <c r="C52" i="8"/>
  <c r="D49" i="8"/>
  <c r="C49" i="8"/>
  <c r="D46" i="8"/>
  <c r="C46" i="8"/>
  <c r="D43" i="8"/>
  <c r="C43" i="8"/>
  <c r="D40" i="8"/>
  <c r="C40" i="8"/>
  <c r="D37" i="8"/>
  <c r="C37" i="8"/>
  <c r="C34" i="8"/>
  <c r="D34" i="8"/>
  <c r="C31" i="8"/>
  <c r="D31" i="8"/>
  <c r="D28" i="8"/>
  <c r="C28" i="8"/>
  <c r="D25" i="8"/>
  <c r="C25" i="8"/>
  <c r="C20" i="8"/>
  <c r="D20" i="8"/>
  <c r="C14" i="8"/>
  <c r="D14" i="8"/>
  <c r="B73" i="8"/>
  <c r="B70" i="8"/>
  <c r="B67" i="8"/>
  <c r="B64" i="8"/>
  <c r="B61" i="8"/>
  <c r="B58" i="8"/>
  <c r="B55" i="8"/>
  <c r="B52" i="8"/>
  <c r="B49" i="8"/>
  <c r="B46" i="8"/>
  <c r="B43" i="8"/>
  <c r="B40" i="8"/>
  <c r="B37" i="8"/>
  <c r="B34" i="8"/>
  <c r="B31" i="8"/>
  <c r="B28" i="8"/>
  <c r="B25" i="8"/>
  <c r="B20" i="8"/>
  <c r="B14" i="8"/>
  <c r="I19" i="17" l="1"/>
  <c r="I20" i="17"/>
  <c r="I21" i="17"/>
  <c r="G23" i="14"/>
  <c r="G24" i="14" l="1"/>
  <c r="G25" i="14"/>
</calcChain>
</file>

<file path=xl/sharedStrings.xml><?xml version="1.0" encoding="utf-8"?>
<sst xmlns="http://schemas.openxmlformats.org/spreadsheetml/2006/main" count="440" uniqueCount="174">
  <si>
    <t>Référence produit</t>
  </si>
  <si>
    <t>Désignation</t>
  </si>
  <si>
    <t>Prix de vente</t>
  </si>
  <si>
    <t>Fournisseur</t>
  </si>
  <si>
    <t>Total</t>
  </si>
  <si>
    <t>Référence</t>
  </si>
  <si>
    <t>Quantité</t>
  </si>
  <si>
    <t>Date</t>
  </si>
  <si>
    <t>Marque</t>
  </si>
  <si>
    <t>Code caisse</t>
  </si>
  <si>
    <t>Codes caisses</t>
  </si>
  <si>
    <t>Bonbons</t>
  </si>
  <si>
    <t>Boucles d'oreilles</t>
  </si>
  <si>
    <t>Cosmétiques</t>
  </si>
  <si>
    <t>Cartes cadeaux</t>
  </si>
  <si>
    <t>Echarpes bijoux</t>
  </si>
  <si>
    <t>Bagues</t>
  </si>
  <si>
    <t>Coques de téléphones</t>
  </si>
  <si>
    <t>Cadeaux</t>
  </si>
  <si>
    <t xml:space="preserve">Tatoos </t>
  </si>
  <si>
    <t>Accessoires Ongles</t>
  </si>
  <si>
    <t>Accessoires Tatoos</t>
  </si>
  <si>
    <t>Vernis</t>
  </si>
  <si>
    <t>Bijoux de sac</t>
  </si>
  <si>
    <t>Chainettes chevilles</t>
  </si>
  <si>
    <t>Piercings</t>
  </si>
  <si>
    <t>Clous d'oreilles</t>
  </si>
  <si>
    <t>Bracelets</t>
  </si>
  <si>
    <t>Parrures</t>
  </si>
  <si>
    <t>Colliers</t>
  </si>
  <si>
    <t>Menu principal</t>
  </si>
  <si>
    <t>Gestion des fournisseurs</t>
  </si>
  <si>
    <t>Adresse site</t>
  </si>
  <si>
    <t>Autre contact</t>
  </si>
  <si>
    <t>Gestion des produits</t>
  </si>
  <si>
    <t>Fiche de caisse</t>
  </si>
  <si>
    <t>€</t>
  </si>
  <si>
    <t>TOTAL</t>
  </si>
  <si>
    <t>Fond de caisse debut de journée</t>
  </si>
  <si>
    <t xml:space="preserve">Total à enlever </t>
  </si>
  <si>
    <t>Gestion des stocks</t>
  </si>
  <si>
    <t>Tableau de bord</t>
  </si>
  <si>
    <t>Nombre</t>
  </si>
  <si>
    <t>Fond de caisse théorique fin de journée</t>
  </si>
  <si>
    <t xml:space="preserve">Fond de caisse réel fin de journée </t>
  </si>
  <si>
    <t>Ecart Réel / Théorique</t>
  </si>
  <si>
    <t>Paiements Chèques</t>
  </si>
  <si>
    <t>Journal des achats</t>
  </si>
  <si>
    <t>Journal des ventes</t>
  </si>
  <si>
    <t>Vue des stocks</t>
  </si>
  <si>
    <t>Prix d'achat unitaire</t>
  </si>
  <si>
    <t>Commentaires</t>
  </si>
  <si>
    <t>Prix de vente unitaire</t>
  </si>
  <si>
    <t>BOU001</t>
  </si>
  <si>
    <t>COL001</t>
  </si>
  <si>
    <t>Mode paiement</t>
  </si>
  <si>
    <t>Nature opération</t>
  </si>
  <si>
    <t>Soldes</t>
  </si>
  <si>
    <t>Vente Boutique</t>
  </si>
  <si>
    <t>OUI</t>
  </si>
  <si>
    <t>Espèces</t>
  </si>
  <si>
    <t>Carte cadeau</t>
  </si>
  <si>
    <t>Coût du stock</t>
  </si>
  <si>
    <t>Valeur à la vente</t>
  </si>
  <si>
    <t>BOU002</t>
  </si>
  <si>
    <t>Vente CE</t>
  </si>
  <si>
    <t>Chèque</t>
  </si>
  <si>
    <t>Colonne1</t>
  </si>
  <si>
    <t>Colonne2</t>
  </si>
  <si>
    <t>Colonne3</t>
  </si>
  <si>
    <t>Colonne4</t>
  </si>
  <si>
    <t>g</t>
  </si>
  <si>
    <t>h</t>
  </si>
  <si>
    <t>Vente Foire</t>
  </si>
  <si>
    <t>TOTAUX DU BUDGET</t>
  </si>
  <si>
    <t>ESTIMÉ</t>
  </si>
  <si>
    <t>RÉEL</t>
  </si>
  <si>
    <t>DIFFÉRENCE</t>
  </si>
  <si>
    <t>REVENUS</t>
  </si>
  <si>
    <t>Revenus</t>
  </si>
  <si>
    <t>Chiffre d’affaires net</t>
  </si>
  <si>
    <t>Dépenses</t>
  </si>
  <si>
    <t>Intérêts créditeurs</t>
  </si>
  <si>
    <t>Solde (revenus moins dépenses)</t>
  </si>
  <si>
    <t>Ventes d’actifs (profit/perte)</t>
  </si>
  <si>
    <t>Salaires</t>
  </si>
  <si>
    <t>Personnel total</t>
  </si>
  <si>
    <t>FRAIS D’EXPLOITATION</t>
  </si>
  <si>
    <t>Assurance</t>
  </si>
  <si>
    <t>Fournitures</t>
  </si>
  <si>
    <t>Impôts</t>
  </si>
  <si>
    <t xml:space="preserve"> </t>
  </si>
  <si>
    <t>Loyer</t>
  </si>
  <si>
    <t>Electricité</t>
  </si>
  <si>
    <t>Eau</t>
  </si>
  <si>
    <t>Essence (déplacements)</t>
  </si>
  <si>
    <t>Frais d'envoi</t>
  </si>
  <si>
    <t>Site internet</t>
  </si>
  <si>
    <t>Services (internet, téléphone)</t>
  </si>
  <si>
    <t>PLUS DE TUUUUUNES</t>
  </si>
  <si>
    <t>CHARGES DE PERSONNEL</t>
  </si>
  <si>
    <t>hsdjhqs</t>
  </si>
  <si>
    <t>;dsjlsknds</t>
  </si>
  <si>
    <t>AAAAAAA</t>
  </si>
  <si>
    <t>CCCCCC</t>
  </si>
  <si>
    <t>Météo</t>
  </si>
  <si>
    <t>Fond de caisse fin de journée</t>
  </si>
  <si>
    <t>Nombre de chèques</t>
  </si>
  <si>
    <t>Total chèques</t>
  </si>
  <si>
    <t>CA journée</t>
  </si>
  <si>
    <t>CA cumulé</t>
  </si>
  <si>
    <t>Historique journée</t>
  </si>
  <si>
    <t>Total général</t>
  </si>
  <si>
    <t>Étiquettes de lignes</t>
  </si>
  <si>
    <t>Moyenne de CA journée</t>
  </si>
  <si>
    <t>(Tous)</t>
  </si>
  <si>
    <t>Somme de Total</t>
  </si>
  <si>
    <t>Mois</t>
  </si>
  <si>
    <t>Dragibus</t>
  </si>
  <si>
    <t>MiamBonbon</t>
  </si>
  <si>
    <t>W124J</t>
  </si>
  <si>
    <t>Tagada</t>
  </si>
  <si>
    <t>K4598VFJ</t>
  </si>
  <si>
    <t>Tagada2</t>
  </si>
  <si>
    <t>Bonbonland</t>
  </si>
  <si>
    <t>TEGOJ23</t>
  </si>
  <si>
    <t>Boucles d'oreille Bambi</t>
  </si>
  <si>
    <t>Bijou cools</t>
  </si>
  <si>
    <t>ZIOGH1231</t>
  </si>
  <si>
    <t>Boucles fashion</t>
  </si>
  <si>
    <t>WAHOU1</t>
  </si>
  <si>
    <t>Collier popcorn</t>
  </si>
  <si>
    <t>BALI1</t>
  </si>
  <si>
    <t>Ensemble opales</t>
  </si>
  <si>
    <t>ZGRH1224</t>
  </si>
  <si>
    <t>www.bonbonland.com</t>
  </si>
  <si>
    <t>Délai de livraison 3 semaines</t>
  </si>
  <si>
    <t>contact@bijoucool.com</t>
  </si>
  <si>
    <t>bonne qualité</t>
  </si>
  <si>
    <t>Vernis folie</t>
  </si>
  <si>
    <t>www.lafeteauvernis.fr</t>
  </si>
  <si>
    <t>lots de 10</t>
  </si>
  <si>
    <t>plus cher/ 8€ de frais de livraison</t>
  </si>
  <si>
    <t>BON001</t>
  </si>
  <si>
    <t>promo prix de gros</t>
  </si>
  <si>
    <t>c'est quand meme Bambi...</t>
  </si>
  <si>
    <t>ramené par Cyril</t>
  </si>
  <si>
    <t>approximatif</t>
  </si>
  <si>
    <t>Vente Domicile</t>
  </si>
  <si>
    <t>PAR001</t>
  </si>
  <si>
    <t>prix vente groupée</t>
  </si>
  <si>
    <t>Vente Internet</t>
  </si>
  <si>
    <t>Coût d'achat unitaire (PEPS)</t>
  </si>
  <si>
    <t>Année</t>
  </si>
  <si>
    <t>janvier</t>
  </si>
  <si>
    <t>mars</t>
  </si>
  <si>
    <t>avril</t>
  </si>
  <si>
    <t>mai</t>
  </si>
  <si>
    <t>décembre</t>
  </si>
  <si>
    <t>2013</t>
  </si>
  <si>
    <t>2012</t>
  </si>
  <si>
    <t>Étiquettes de colonnes</t>
  </si>
  <si>
    <t>Boucles d'or</t>
  </si>
  <si>
    <t>gnagnagna</t>
  </si>
  <si>
    <t>Fraises roses</t>
  </si>
  <si>
    <t>Bijoux cailloux choux</t>
  </si>
  <si>
    <t>COOLLL</t>
  </si>
  <si>
    <t>Bijoux cools</t>
  </si>
  <si>
    <t>BOU003</t>
  </si>
  <si>
    <t>29/04/2013</t>
  </si>
  <si>
    <t>test</t>
  </si>
  <si>
    <t>testttttttttt</t>
  </si>
  <si>
    <t>REEL</t>
  </si>
  <si>
    <t>Budget mensuel</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</si>
</sst>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8" formatCode="#,##0.00\ &quot;€&quot;;[Red]\-#,##0.00\ &quot;€&quot;"/>
    <numFmt numFmtId="165" formatCode="_(* #,##0.00_);_(* \(#,##0.00\);_(* &quot;-&quot;??_);_(@_)"/>
    <numFmt numFmtId="166" formatCode="#,##0.00\ &quot;€&quot;"/>
    <numFmt numFmtId="167" formatCode="0.0%"/>
    <numFmt numFmtId="168" formatCode="mmmm\ yyyy"/>
    <numFmt numFmtId="169" formatCode="#,##0.00\ _€"/>
  </numFmts>
  <fonts count="16" x14ac:knownFonts="1">
    <font>
      <sz val="11"/>
      <color theme="1"/>
      <name val="Calibri"/>
      <family val="2"/>
      <scheme val="minor"/>
    </font>
    <font>
      <u/>
      <sz val="11"/>
      <color theme="10"/>
      <name val="Calibri"/>
      <family val="2"/>
      <scheme val="minor"/>
    </font>
    <font>
      <b/>
      <sz val="11"/>
      <color theme="4" tint="9.9978637043366805E-2"/>
      <name val="Calibri"/>
      <family val="2"/>
      <scheme val="minor"/>
    </font>
    <font>
      <i/>
      <sz val="18"/>
      <color theme="4" tint="9.9978637043366805E-2"/>
      <name val="Calibri"/>
      <family val="2"/>
      <scheme val="minor"/>
    </font>
    <font>
      <b/>
      <sz val="16"/>
      <color theme="4" tint="9.9978637043366805E-2"/>
      <name val="Calibri"/>
      <family val="2"/>
      <scheme val="minor"/>
    </font>
    <font>
      <b/>
      <sz val="11"/>
      <color theme="1"/>
      <name val="Calibri"/>
      <family val="2"/>
      <scheme val="minor"/>
    </font>
    <font>
      <sz val="12"/>
      <color theme="1"/>
      <name val="Calibri"/>
      <family val="2"/>
      <scheme val="minor"/>
    </font>
    <font>
      <b/>
      <sz val="12"/>
      <color theme="0"/>
      <name val="Calibri"/>
      <family val="2"/>
      <scheme val="minor"/>
    </font>
    <font>
      <sz val="14"/>
      <color theme="1"/>
      <name val="Calibri"/>
      <family val="2"/>
      <scheme val="minor"/>
    </font>
    <font>
      <b/>
      <sz val="12"/>
      <color theme="1"/>
      <name val="Calibri"/>
      <family val="2"/>
      <scheme val="minor"/>
    </font>
    <font>
      <b/>
      <sz val="18"/>
      <color theme="0"/>
      <name val="Calibri"/>
      <family val="2"/>
      <scheme val="minor"/>
    </font>
    <font>
      <b/>
      <sz val="16"/>
      <color theme="1"/>
      <name val="Calibri"/>
      <family val="2"/>
      <scheme val="minor"/>
    </font>
    <font>
      <b/>
      <sz val="11"/>
      <color theme="0"/>
      <name val="Calibri"/>
      <family val="2"/>
      <scheme val="minor"/>
    </font>
    <font>
      <sz val="11"/>
      <color theme="1"/>
      <name val="Calibri"/>
      <family val="2"/>
      <scheme val="minor"/>
    </font>
    <font>
      <sz val="12"/>
      <color theme="3"/>
      <name val="Calibri"/>
      <family val="2"/>
      <scheme val="minor"/>
    </font>
    <font>
      <sz val="11"/>
      <color theme="1"/>
      <name val="Calibri"/>
      <family val="2"/>
      <scheme val="minor"/>
    </font>
  </fonts>
  <fills count="8">
    <fill>
      <patternFill patternType="none"/>
    </fill>
    <fill>
      <patternFill patternType="gray125"/>
    </fill>
    <fill>
      <patternFill patternType="solid">
        <fgColor theme="4" tint="9.9978637043366805E-2"/>
        <bgColor indexed="64"/>
      </patternFill>
    </fill>
    <fill>
      <patternFill patternType="solid">
        <fgColor theme="4" tint="0.249977111117893"/>
        <bgColor indexed="64"/>
      </patternFill>
    </fill>
    <fill>
      <patternFill patternType="solid">
        <fgColor theme="4" tint="0.749992370372631"/>
        <bgColor indexed="64"/>
      </patternFill>
    </fill>
    <fill>
      <patternFill patternType="solid">
        <fgColor theme="0"/>
        <bgColor indexed="64"/>
      </patternFill>
    </fill>
    <fill>
      <patternFill patternType="solid">
        <fgColor theme="4"/>
        <bgColor theme="4"/>
      </patternFill>
    </fill>
    <fill>
      <patternFill patternType="solid">
        <fgColor theme="4" tint="0.79998168889431442"/>
        <bgColor theme="4" tint="0.79998168889431442"/>
      </patternFill>
    </fill>
  </fills>
  <borders count="6">
    <border>
      <left/>
      <right/>
      <top/>
      <bottom/>
      <diagonal/>
    </border>
    <border>
      <left style="thin">
        <color theme="4" tint="0.499984740745262"/>
      </left>
      <right style="thin">
        <color theme="4" tint="0.499984740745262"/>
      </right>
      <top style="thin">
        <color theme="4" tint="0.499984740745262"/>
      </top>
      <bottom style="thin">
        <color theme="4" tint="0.499984740745262"/>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4">
    <xf numFmtId="0" fontId="0" fillId="0" borderId="0"/>
    <xf numFmtId="0" fontId="1" fillId="0" borderId="0" applyNumberFormat="0" applyFill="0" applyBorder="0" applyAlignment="0" applyProtection="0"/>
    <xf numFmtId="165" fontId="13" fillId="0" borderId="0" applyFont="0" applyFill="0" applyBorder="0" applyAlignment="0" applyProtection="0"/>
    <xf numFmtId="9" fontId="13" fillId="0" borderId="0" applyFont="0" applyFill="0" applyBorder="0" applyAlignment="0" applyProtection="0"/>
  </cellStyleXfs>
  <cellXfs count="107">
    <xf numFmtId="0" fontId="0" fillId="0" borderId="0" xfId="0"/>
    <xf numFmtId="0" fontId="1" fillId="0" borderId="0" xfId="1" quotePrefix="1"/>
    <xf numFmtId="0" fontId="3" fillId="0" borderId="0" xfId="0" applyFont="1"/>
    <xf numFmtId="0" fontId="0" fillId="0" borderId="0" xfId="0" applyNumberFormat="1" applyAlignment="1">
      <alignment wrapText="1"/>
    </xf>
    <xf numFmtId="0" fontId="2" fillId="0" borderId="0" xfId="0" applyNumberFormat="1" applyFont="1" applyAlignment="1">
      <alignment horizontal="left" wrapText="1"/>
    </xf>
    <xf numFmtId="0" fontId="3" fillId="0" borderId="0" xfId="0" applyFont="1" applyAlignment="1">
      <alignment wrapText="1"/>
    </xf>
    <xf numFmtId="0" fontId="0" fillId="0" borderId="0" xfId="0" applyAlignment="1">
      <alignment wrapText="1"/>
    </xf>
    <xf numFmtId="0" fontId="6" fillId="0" borderId="0" xfId="0" applyFont="1" applyAlignment="1">
      <alignment horizontal="center" vertical="center"/>
    </xf>
    <xf numFmtId="166" fontId="5" fillId="0" borderId="0" xfId="0" applyNumberFormat="1" applyFont="1" applyAlignment="1">
      <alignment horizontal="center" vertical="center"/>
    </xf>
    <xf numFmtId="166" fontId="9" fillId="0" borderId="0" xfId="0" applyNumberFormat="1" applyFont="1" applyAlignment="1">
      <alignment horizontal="center"/>
    </xf>
    <xf numFmtId="0" fontId="7" fillId="2" borderId="1" xfId="0" applyFont="1" applyFill="1" applyBorder="1"/>
    <xf numFmtId="0" fontId="7" fillId="3" borderId="1" xfId="0" applyFont="1" applyFill="1" applyBorder="1"/>
    <xf numFmtId="166" fontId="6" fillId="4" borderId="1" xfId="0" applyNumberFormat="1" applyFont="1" applyFill="1" applyBorder="1"/>
    <xf numFmtId="166" fontId="6" fillId="0" borderId="1" xfId="0" applyNumberFormat="1" applyFont="1" applyBorder="1"/>
    <xf numFmtId="166" fontId="11" fillId="4" borderId="1" xfId="0" applyNumberFormat="1" applyFont="1" applyFill="1" applyBorder="1"/>
    <xf numFmtId="166" fontId="8" fillId="5" borderId="1" xfId="0" applyNumberFormat="1" applyFont="1" applyFill="1" applyBorder="1"/>
    <xf numFmtId="0" fontId="10" fillId="2" borderId="1" xfId="0" applyFont="1" applyFill="1" applyBorder="1"/>
    <xf numFmtId="166" fontId="4" fillId="0" borderId="1" xfId="0" applyNumberFormat="1" applyFont="1" applyBorder="1" applyAlignment="1">
      <alignment horizontal="center"/>
    </xf>
    <xf numFmtId="0" fontId="0" fillId="0" borderId="0" xfId="0" applyAlignment="1">
      <alignment horizontal="center" vertical="center" wrapText="1"/>
    </xf>
    <xf numFmtId="0" fontId="0" fillId="0" borderId="0" xfId="0" applyAlignment="1">
      <alignment horizontal="right" vertical="center" wrapText="1"/>
    </xf>
    <xf numFmtId="14" fontId="0" fillId="0" borderId="0" xfId="0" applyNumberFormat="1" applyAlignment="1">
      <alignment horizontal="right" vertical="center" wrapText="1"/>
    </xf>
    <xf numFmtId="166" fontId="0" fillId="0" borderId="0" xfId="0" applyNumberFormat="1" applyAlignment="1">
      <alignment horizontal="center" vertical="center" wrapText="1"/>
    </xf>
    <xf numFmtId="166" fontId="0" fillId="0" borderId="0" xfId="0" applyNumberFormat="1" applyAlignment="1">
      <alignment horizontal="right" vertical="center" wrapText="1"/>
    </xf>
    <xf numFmtId="166" fontId="0" fillId="0" borderId="0" xfId="0" applyNumberFormat="1" applyAlignment="1">
      <alignment wrapText="1"/>
    </xf>
    <xf numFmtId="0" fontId="0" fillId="7" borderId="2" xfId="0" applyFont="1" applyFill="1" applyBorder="1" applyAlignment="1">
      <alignment wrapText="1"/>
    </xf>
    <xf numFmtId="0" fontId="12" fillId="6" borderId="2" xfId="0" applyFont="1" applyFill="1" applyBorder="1" applyAlignment="1">
      <alignment horizontal="center" vertical="center" wrapText="1"/>
    </xf>
    <xf numFmtId="0" fontId="0" fillId="0" borderId="0" xfId="0" applyAlignment="1">
      <alignment horizontal="center" wrapText="1"/>
    </xf>
    <xf numFmtId="0" fontId="2" fillId="0" borderId="0" xfId="0" applyFont="1" applyAlignment="1">
      <alignment horizontal="center" wrapText="1"/>
    </xf>
    <xf numFmtId="0" fontId="2" fillId="0" borderId="0" xfId="0" applyFont="1" applyAlignment="1">
      <alignment horizontal="right" wrapText="1"/>
    </xf>
    <xf numFmtId="14" fontId="0" fillId="0" borderId="0" xfId="0" applyNumberFormat="1" applyAlignment="1">
      <alignment wrapText="1"/>
    </xf>
    <xf numFmtId="14" fontId="0" fillId="0" borderId="0" xfId="0" applyNumberFormat="1" applyAlignment="1">
      <alignment horizontal="center" vertical="center" wrapText="1"/>
    </xf>
    <xf numFmtId="0" fontId="3" fillId="0" borderId="0" xfId="0" applyFont="1" applyAlignment="1">
      <alignment horizontal="center" vertical="center"/>
    </xf>
    <xf numFmtId="0" fontId="0" fillId="0" borderId="0" xfId="0" applyNumberFormat="1"/>
    <xf numFmtId="0" fontId="0" fillId="0" borderId="0" xfId="0" pivotButton="1"/>
    <xf numFmtId="0" fontId="0" fillId="0" borderId="0" xfId="0" applyAlignment="1">
      <alignment horizontal="left"/>
    </xf>
    <xf numFmtId="168" fontId="0" fillId="0" borderId="0" xfId="0" applyNumberFormat="1" applyAlignment="1">
      <alignment wrapText="1"/>
    </xf>
    <xf numFmtId="168" fontId="0" fillId="0" borderId="0" xfId="0" applyNumberFormat="1" applyAlignment="1">
      <alignment horizontal="center" vertical="center" wrapText="1"/>
    </xf>
    <xf numFmtId="168" fontId="0" fillId="0" borderId="0" xfId="0" applyNumberFormat="1" applyAlignment="1">
      <alignment horizontal="right" vertical="center" wrapText="1"/>
    </xf>
    <xf numFmtId="166" fontId="3" fillId="0" borderId="0" xfId="0" applyNumberFormat="1" applyFont="1" applyAlignment="1">
      <alignment horizontal="left" wrapText="1"/>
    </xf>
    <xf numFmtId="0" fontId="0" fillId="7" borderId="4" xfId="0" applyFont="1" applyFill="1" applyBorder="1" applyAlignment="1">
      <alignment wrapText="1"/>
    </xf>
    <xf numFmtId="166" fontId="0" fillId="7" borderId="4" xfId="0" applyNumberFormat="1" applyFont="1" applyFill="1" applyBorder="1" applyAlignment="1">
      <alignment wrapText="1"/>
    </xf>
    <xf numFmtId="166" fontId="0" fillId="7" borderId="5" xfId="0" applyNumberFormat="1" applyFont="1" applyFill="1" applyBorder="1" applyAlignment="1">
      <alignment wrapText="1"/>
    </xf>
    <xf numFmtId="166" fontId="0" fillId="7" borderId="2" xfId="0" applyNumberFormat="1" applyFont="1" applyFill="1" applyBorder="1" applyAlignment="1">
      <alignment wrapText="1"/>
    </xf>
    <xf numFmtId="166" fontId="0" fillId="7" borderId="3" xfId="0" applyNumberFormat="1" applyFont="1" applyFill="1" applyBorder="1" applyAlignment="1">
      <alignment wrapText="1"/>
    </xf>
    <xf numFmtId="0" fontId="0" fillId="7" borderId="2" xfId="0" applyFont="1" applyFill="1" applyBorder="1" applyAlignment="1">
      <alignment horizontal="center" vertical="center" wrapText="1"/>
    </xf>
    <xf numFmtId="0" fontId="0" fillId="7" borderId="4" xfId="0" applyFont="1" applyFill="1" applyBorder="1" applyAlignment="1">
      <alignment horizontal="center" vertical="center" wrapText="1"/>
    </xf>
    <xf numFmtId="166" fontId="12" fillId="6" borderId="2" xfId="0" applyNumberFormat="1" applyFont="1" applyFill="1" applyBorder="1" applyAlignment="1">
      <alignment horizontal="center" vertical="center" wrapText="1"/>
    </xf>
    <xf numFmtId="166" fontId="12" fillId="6" borderId="3" xfId="0" applyNumberFormat="1" applyFont="1" applyFill="1" applyBorder="1" applyAlignment="1">
      <alignment horizontal="center" vertical="center" wrapText="1"/>
    </xf>
    <xf numFmtId="0" fontId="0" fillId="0" borderId="0" xfId="0" applyAlignment="1">
      <alignment horizontal="left" indent="1"/>
    </xf>
    <xf numFmtId="0" fontId="0" fillId="0" borderId="0" xfId="0" applyAlignment="1">
      <alignment horizontal="center"/>
    </xf>
    <xf numFmtId="0" fontId="15" fillId="7" borderId="4" xfId="0" applyFont="1" applyFill="1" applyBorder="1" applyAlignment="1">
      <alignment horizontal="center" vertical="center" wrapText="1"/>
    </xf>
    <xf numFmtId="0" fontId="15" fillId="7" borderId="4" xfId="0" applyFont="1" applyFill="1" applyBorder="1" applyAlignment="1">
      <alignment wrapText="1"/>
    </xf>
    <xf numFmtId="166" fontId="15" fillId="7" borderId="4" xfId="0" applyNumberFormat="1" applyFont="1" applyFill="1" applyBorder="1" applyAlignment="1">
      <alignment wrapText="1"/>
    </xf>
    <xf numFmtId="166" fontId="15" fillId="7" borderId="5" xfId="0" applyNumberFormat="1" applyFont="1" applyFill="1" applyBorder="1" applyAlignment="1">
      <alignment wrapText="1"/>
    </xf>
    <xf numFmtId="0" fontId="0" fillId="0" borderId="0" xfId="0" applyAlignment="1" applyProtection="1">
      <alignment horizontal="center"/>
      <protection locked="0"/>
    </xf>
    <xf numFmtId="0" fontId="6" fillId="0" borderId="1" xfId="0" applyFont="1" applyBorder="1" applyProtection="1">
      <protection locked="0"/>
    </xf>
    <xf numFmtId="166" fontId="11" fillId="4" borderId="1" xfId="0" applyNumberFormat="1" applyFont="1" applyFill="1" applyBorder="1" applyProtection="1">
      <protection locked="0"/>
    </xf>
    <xf numFmtId="166" fontId="6" fillId="4" borderId="1" xfId="0" applyNumberFormat="1" applyFont="1" applyFill="1" applyBorder="1" applyProtection="1">
      <protection locked="0"/>
    </xf>
    <xf numFmtId="0" fontId="0" fillId="0" borderId="0" xfId="0" applyAlignment="1">
      <alignment horizontal="center" vertical="center"/>
    </xf>
    <xf numFmtId="0" fontId="3" fillId="0" borderId="0" xfId="0" applyFont="1" applyAlignment="1">
      <alignment horizontal="right" wrapText="1"/>
    </xf>
    <xf numFmtId="0" fontId="3" fillId="0" borderId="0" xfId="0" applyFont="1" applyAlignment="1">
      <alignment horizontal="left" vertical="center" wrapText="1"/>
    </xf>
    <xf numFmtId="0" fontId="0" fillId="0" borderId="0" xfId="0" applyAlignment="1">
      <alignment horizontal="center"/>
    </xf>
    <xf numFmtId="166" fontId="3" fillId="0" borderId="0" xfId="0" applyNumberFormat="1" applyFont="1" applyAlignment="1">
      <alignment horizontal="center" wrapText="1"/>
    </xf>
    <xf numFmtId="0" fontId="3" fillId="0" borderId="0" xfId="0" applyFont="1" applyAlignment="1">
      <alignment horizontal="center" wrapText="1"/>
    </xf>
    <xf numFmtId="0" fontId="4" fillId="0" borderId="1" xfId="0" applyFont="1" applyBorder="1" applyAlignment="1">
      <alignment horizontal="center"/>
    </xf>
    <xf numFmtId="166" fontId="3" fillId="0" borderId="0" xfId="0" applyNumberFormat="1" applyFont="1" applyAlignment="1">
      <alignment horizontal="center" vertical="center"/>
    </xf>
    <xf numFmtId="166" fontId="0" fillId="0" borderId="0" xfId="2" applyNumberFormat="1" applyFont="1" applyFill="1" applyBorder="1" applyProtection="1"/>
    <xf numFmtId="0" fontId="3" fillId="0" borderId="0" xfId="0" applyFont="1" applyAlignment="1" applyProtection="1">
      <alignment horizontal="center"/>
    </xf>
    <xf numFmtId="166" fontId="0" fillId="0" borderId="0" xfId="0" applyNumberFormat="1" applyProtection="1"/>
    <xf numFmtId="8" fontId="0" fillId="0" borderId="0" xfId="0" applyNumberFormat="1" applyProtection="1"/>
    <xf numFmtId="0" fontId="0" fillId="0" borderId="0" xfId="0" applyProtection="1"/>
    <xf numFmtId="169" fontId="0" fillId="0" borderId="0" xfId="0" applyNumberFormat="1" applyProtection="1"/>
    <xf numFmtId="0" fontId="0" fillId="0" borderId="0" xfId="0" applyFill="1" applyProtection="1"/>
    <xf numFmtId="169" fontId="0" fillId="0" borderId="0" xfId="0" applyNumberFormat="1" applyFill="1" applyProtection="1"/>
    <xf numFmtId="166" fontId="0" fillId="0" borderId="0" xfId="0" applyNumberFormat="1" applyFill="1" applyProtection="1"/>
    <xf numFmtId="8" fontId="0" fillId="0" borderId="0" xfId="0" applyNumberFormat="1" applyFill="1" applyProtection="1"/>
    <xf numFmtId="0" fontId="0" fillId="0" borderId="0" xfId="0" applyFill="1" applyAlignment="1" applyProtection="1">
      <alignment vertical="center"/>
    </xf>
    <xf numFmtId="0" fontId="0" fillId="0" borderId="0" xfId="0" applyAlignment="1" applyProtection="1">
      <alignment horizontal="center" wrapText="1"/>
    </xf>
    <xf numFmtId="0" fontId="0" fillId="0" borderId="0" xfId="0" applyAlignment="1" applyProtection="1">
      <alignment wrapText="1"/>
    </xf>
    <xf numFmtId="0" fontId="0" fillId="0" borderId="0" xfId="0" applyNumberFormat="1" applyAlignment="1" applyProtection="1">
      <alignment wrapText="1"/>
    </xf>
    <xf numFmtId="166" fontId="0" fillId="0" borderId="0" xfId="0" applyNumberFormat="1" applyAlignment="1" applyProtection="1">
      <alignment wrapText="1"/>
    </xf>
    <xf numFmtId="0" fontId="0" fillId="0" borderId="0" xfId="0" applyFont="1" applyFill="1" applyBorder="1" applyAlignment="1" applyProtection="1">
      <alignment horizontal="left" vertical="center" indent="1"/>
    </xf>
    <xf numFmtId="169" fontId="0" fillId="0" borderId="0" xfId="0" applyNumberFormat="1" applyFont="1" applyFill="1" applyBorder="1" applyAlignment="1" applyProtection="1">
      <alignment vertical="center"/>
    </xf>
    <xf numFmtId="166" fontId="0" fillId="0" borderId="0" xfId="0" applyNumberFormat="1" applyFont="1" applyFill="1" applyBorder="1" applyAlignment="1" applyProtection="1">
      <alignment vertical="center"/>
    </xf>
    <xf numFmtId="8" fontId="0" fillId="0" borderId="0" xfId="0" applyNumberFormat="1" applyFont="1" applyFill="1" applyBorder="1" applyAlignment="1" applyProtection="1">
      <alignment vertical="center"/>
    </xf>
    <xf numFmtId="0" fontId="0" fillId="0" borderId="0" xfId="0" applyFont="1" applyFill="1" applyBorder="1" applyAlignment="1" applyProtection="1">
      <alignment horizontal="left" indent="1"/>
    </xf>
    <xf numFmtId="169" fontId="0" fillId="0" borderId="0" xfId="2" applyNumberFormat="1" applyFont="1" applyFill="1" applyBorder="1" applyProtection="1"/>
    <xf numFmtId="8" fontId="0" fillId="0" borderId="0" xfId="2" applyNumberFormat="1" applyFont="1" applyFill="1" applyBorder="1" applyProtection="1"/>
    <xf numFmtId="40" fontId="0" fillId="0" borderId="0" xfId="0" applyNumberFormat="1" applyFont="1" applyFill="1" applyBorder="1" applyProtection="1"/>
    <xf numFmtId="40" fontId="0" fillId="0" borderId="0" xfId="2" applyNumberFormat="1" applyFont="1" applyFill="1" applyBorder="1" applyProtection="1"/>
    <xf numFmtId="0" fontId="0" fillId="0" borderId="0" xfId="0" applyFill="1" applyAlignment="1" applyProtection="1">
      <alignment horizontal="center"/>
    </xf>
    <xf numFmtId="169" fontId="0" fillId="0" borderId="0" xfId="0" applyNumberFormat="1" applyFont="1" applyFill="1" applyBorder="1" applyProtection="1"/>
    <xf numFmtId="166" fontId="0" fillId="0" borderId="0" xfId="0" applyNumberFormat="1" applyFont="1" applyFill="1" applyBorder="1" applyProtection="1"/>
    <xf numFmtId="8" fontId="0" fillId="0" borderId="0" xfId="0" applyNumberFormat="1" applyFont="1" applyFill="1" applyBorder="1" applyProtection="1"/>
    <xf numFmtId="169" fontId="0" fillId="0" borderId="0" xfId="0" applyNumberFormat="1" applyFill="1" applyAlignment="1" applyProtection="1">
      <alignment horizontal="center"/>
    </xf>
    <xf numFmtId="166" fontId="0" fillId="0" borderId="0" xfId="0" applyNumberFormat="1" applyFill="1" applyAlignment="1" applyProtection="1">
      <alignment horizontal="center"/>
    </xf>
    <xf numFmtId="8" fontId="0" fillId="0" borderId="0" xfId="0" applyNumberFormat="1" applyFill="1" applyAlignment="1" applyProtection="1">
      <alignment horizontal="center"/>
    </xf>
    <xf numFmtId="0" fontId="0" fillId="0" borderId="0" xfId="0" applyFill="1" applyAlignment="1" applyProtection="1"/>
    <xf numFmtId="9" fontId="0" fillId="0" borderId="0" xfId="3" applyFont="1" applyFill="1" applyAlignment="1" applyProtection="1">
      <alignment horizontal="right"/>
    </xf>
    <xf numFmtId="165" fontId="0" fillId="0" borderId="0" xfId="0" applyNumberFormat="1" applyFill="1" applyAlignment="1" applyProtection="1">
      <alignment horizontal="center"/>
    </xf>
    <xf numFmtId="0" fontId="14" fillId="0" borderId="0" xfId="0" applyFont="1" applyFill="1" applyAlignment="1" applyProtection="1">
      <alignment vertical="center"/>
    </xf>
    <xf numFmtId="0" fontId="0" fillId="0" borderId="0" xfId="0" applyFont="1" applyFill="1" applyBorder="1" applyAlignment="1" applyProtection="1">
      <alignment vertical="center"/>
    </xf>
    <xf numFmtId="165" fontId="0" fillId="0" borderId="0" xfId="2" applyNumberFormat="1" applyFont="1" applyFill="1" applyBorder="1" applyProtection="1"/>
    <xf numFmtId="167" fontId="0" fillId="0" borderId="0" xfId="3" applyNumberFormat="1" applyFont="1" applyFill="1" applyBorder="1" applyProtection="1"/>
    <xf numFmtId="165" fontId="0" fillId="0" borderId="0" xfId="2" applyFont="1" applyFill="1" applyBorder="1" applyProtection="1"/>
    <xf numFmtId="165" fontId="0" fillId="0" borderId="0" xfId="0" applyNumberFormat="1" applyFont="1" applyFill="1" applyBorder="1" applyProtection="1"/>
    <xf numFmtId="167" fontId="0" fillId="0" borderId="0" xfId="0" applyNumberFormat="1" applyFont="1" applyFill="1" applyBorder="1" applyProtection="1"/>
  </cellXfs>
  <cellStyles count="4">
    <cellStyle name="Lien hypertexte" xfId="1" builtinId="8"/>
    <cellStyle name="Milliers" xfId="2" builtinId="3"/>
    <cellStyle name="Normal" xfId="0" builtinId="0"/>
    <cellStyle name="Pourcentage" xfId="3" builtinId="5"/>
  </cellStyles>
  <dxfs count="272">
    <dxf>
      <font>
        <b val="0"/>
        <i val="0"/>
        <strike val="0"/>
        <condense val="0"/>
        <extend val="0"/>
        <outline val="0"/>
        <shadow val="0"/>
        <u val="none"/>
        <vertAlign val="baseline"/>
        <sz val="11"/>
        <color theme="1"/>
        <name val="Calibri"/>
        <scheme val="minor"/>
      </font>
      <numFmt numFmtId="12" formatCode="#,##0.00\ &quot;€&quot;;[Red]\-#,##0.00\ &quot;€&quot;"/>
      <fill>
        <patternFill patternType="none">
          <fgColor indexed="64"/>
          <bgColor indexed="65"/>
        </patternFill>
      </fill>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166" formatCode="#,##0.00\ &quot;€&quot;"/>
      <fill>
        <patternFill patternType="none">
          <fgColor indexed="64"/>
          <bgColor indexed="65"/>
        </patternFill>
      </fill>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169" formatCode="#,##0.00\ _€"/>
      <fill>
        <patternFill patternType="none">
          <fgColor indexed="64"/>
          <bgColor indexed="65"/>
        </patternFill>
      </fill>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protection locked="1" hidden="0"/>
    </dxf>
    <dxf>
      <numFmt numFmtId="12" formatCode="#,##0.00\ &quot;€&quot;;[Red]\-#,##0.00\ &quot;€&quot;"/>
      <fill>
        <patternFill patternType="none">
          <fgColor indexed="64"/>
          <bgColor indexed="65"/>
        </patternFill>
      </fill>
      <protection locked="1" hidden="0"/>
    </dxf>
    <dxf>
      <numFmt numFmtId="166" formatCode="#,##0.00\ &quot;€&quot;"/>
      <fill>
        <patternFill patternType="none">
          <fgColor indexed="64"/>
          <bgColor indexed="65"/>
        </patternFill>
      </fill>
      <protection locked="1" hidden="0"/>
    </dxf>
    <dxf>
      <numFmt numFmtId="169" formatCode="#,##0.00\ _€"/>
      <fill>
        <patternFill patternType="none">
          <fgColor indexed="64"/>
          <bgColor indexed="65"/>
        </patternFill>
      </fill>
      <protection locked="1" hidden="0"/>
    </dxf>
    <dxf>
      <fill>
        <patternFill patternType="none">
          <fgColor indexed="64"/>
          <bgColor indexed="65"/>
        </patternFill>
      </fill>
      <protection locked="1" hidden="0"/>
    </dxf>
    <dxf>
      <font>
        <b val="0"/>
        <i val="0"/>
        <strike val="0"/>
        <condense val="0"/>
        <extend val="0"/>
        <outline val="0"/>
        <shadow val="0"/>
        <u val="none"/>
        <vertAlign val="baseline"/>
        <sz val="11"/>
        <color theme="1"/>
        <name val="Calibri"/>
        <scheme val="minor"/>
      </font>
      <numFmt numFmtId="12" formatCode="#,##0.00\ &quot;€&quot;;[Red]\-#,##0.00\ &quot;€&quot;"/>
      <fill>
        <patternFill patternType="none">
          <fgColor indexed="64"/>
          <bgColor indexed="65"/>
        </patternFill>
      </fill>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166" formatCode="#,##0.00\ &quot;€&quot;"/>
      <fill>
        <patternFill patternType="none">
          <fgColor indexed="64"/>
          <bgColor indexed="65"/>
        </patternFill>
      </fill>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169" formatCode="#,##0.00\ _€"/>
      <fill>
        <patternFill patternType="none">
          <fgColor indexed="64"/>
          <bgColor indexed="65"/>
        </patternFill>
      </fill>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protection locked="1" hidden="0"/>
    </dxf>
    <dxf>
      <numFmt numFmtId="0" formatCode="#,##0.00_);[Red]\(#,##0.00\)"/>
      <fill>
        <patternFill patternType="none">
          <fgColor indexed="64"/>
          <bgColor auto="1"/>
        </patternFill>
      </fill>
      <protection locked="1" hidden="0"/>
    </dxf>
    <dxf>
      <font>
        <b val="0"/>
        <i val="0"/>
        <strike val="0"/>
        <condense val="0"/>
        <extend val="0"/>
        <outline val="0"/>
        <shadow val="0"/>
        <u val="none"/>
        <vertAlign val="baseline"/>
        <sz val="11"/>
        <color theme="1"/>
        <name val="Calibri"/>
        <scheme val="minor"/>
      </font>
      <numFmt numFmtId="170" formatCode="#,##0.00_);[Red]\(#,##0.00\)"/>
      <fill>
        <patternFill patternType="none">
          <fgColor indexed="64"/>
          <bgColor auto="1"/>
        </patternFill>
      </fill>
      <protection locked="1" hidden="0"/>
    </dxf>
    <dxf>
      <fill>
        <patternFill patternType="none">
          <fgColor indexed="64"/>
          <bgColor auto="1"/>
        </patternFill>
      </fill>
      <protection locked="1" hidden="0"/>
    </dxf>
    <dxf>
      <numFmt numFmtId="12" formatCode="#,##0.00\ &quot;€&quot;;[Red]\-#,##0.00\ &quot;€&quot;"/>
      <fill>
        <patternFill patternType="none">
          <fgColor indexed="64"/>
          <bgColor auto="1"/>
        </patternFill>
      </fill>
      <protection locked="1" hidden="0"/>
    </dxf>
    <dxf>
      <numFmt numFmtId="166" formatCode="#,##0.00\ &quot;€&quot;"/>
      <fill>
        <patternFill patternType="none">
          <fgColor indexed="64"/>
          <bgColor auto="1"/>
        </patternFill>
      </fill>
      <protection locked="1" hidden="0"/>
    </dxf>
    <dxf>
      <numFmt numFmtId="169" formatCode="#,##0.00\ _€"/>
      <fill>
        <patternFill patternType="none">
          <fgColor indexed="64"/>
          <bgColor auto="1"/>
        </patternFill>
      </fill>
      <protection locked="1" hidden="0"/>
    </dxf>
    <dxf>
      <fill>
        <patternFill patternType="none">
          <fgColor indexed="64"/>
          <bgColor auto="1"/>
        </patternFill>
      </fill>
      <protection locked="1" hidden="0"/>
    </dxf>
    <dxf>
      <protection locked="1" hidden="0"/>
    </dxf>
    <dxf>
      <protection locked="1" hidden="0"/>
    </dxf>
    <dxf>
      <protection locked="1" hidden="0"/>
    </dxf>
    <dxf>
      <numFmt numFmtId="171" formatCode="\(#,##0.00\);[Red]\(#,##0.00\)"/>
      <fill>
        <patternFill patternType="none">
          <fgColor indexed="64"/>
          <bgColor auto="1"/>
        </patternFill>
      </fill>
      <protection locked="1" hidden="0"/>
    </dxf>
    <dxf>
      <fill>
        <patternFill patternType="none">
          <fgColor indexed="64"/>
          <bgColor auto="1"/>
        </patternFill>
      </fill>
      <alignment horizontal="general" vertical="bottom" textRotation="0" wrapText="1" indent="0" justifyLastLine="0" shrinkToFit="0" readingOrder="0"/>
      <protection locked="1" hidden="0"/>
    </dxf>
    <dxf>
      <numFmt numFmtId="170" formatCode="#,##0.00_);[Red]\(#,##0.00\)"/>
      <fill>
        <patternFill patternType="none">
          <fgColor indexed="64"/>
          <bgColor auto="1"/>
        </patternFill>
      </fill>
      <protection locked="1" hidden="0"/>
    </dxf>
    <dxf>
      <numFmt numFmtId="0" formatCode="General"/>
      <fill>
        <patternFill patternType="none">
          <fgColor indexed="64"/>
          <bgColor auto="1"/>
        </patternFill>
      </fill>
      <alignment horizontal="general" vertical="bottom" textRotation="0" wrapText="1" indent="0" justifyLastLine="0" shrinkToFit="0" readingOrder="0"/>
      <protection locked="1" hidden="0"/>
    </dxf>
    <dxf>
      <numFmt numFmtId="170" formatCode="#,##0.00_);[Red]\(#,##0.00\)"/>
      <fill>
        <patternFill patternType="none">
          <fgColor indexed="64"/>
          <bgColor auto="1"/>
        </patternFill>
      </fill>
      <protection locked="1" hidden="0"/>
    </dxf>
    <dxf>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1"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1" indent="0" justifyLastLine="0" shrinkToFit="0" readingOrder="0"/>
      <protection locked="1" hidden="0"/>
    </dxf>
    <dxf>
      <fill>
        <patternFill patternType="none">
          <fgColor indexed="64"/>
          <bgColor auto="1"/>
        </patternFill>
      </fill>
      <protection locked="1" hidden="0"/>
    </dxf>
    <dxf>
      <fill>
        <patternFill patternType="none">
          <fgColor indexed="64"/>
          <bgColor auto="1"/>
        </patternFill>
      </fill>
      <protection locked="1" hidden="0"/>
    </dxf>
    <dxf>
      <fill>
        <patternFill patternType="none">
          <fgColor indexed="64"/>
          <bgColor auto="1"/>
        </patternFill>
      </fill>
      <protection locked="1" hidden="0"/>
    </dxf>
    <dxf>
      <numFmt numFmtId="12" formatCode="#,##0.00\ &quot;€&quot;;[Red]\-#,##0.00\ &quot;€&quot;"/>
      <fill>
        <patternFill patternType="none">
          <fgColor indexed="64"/>
          <bgColor auto="1"/>
        </patternFill>
      </fill>
      <protection locked="1" hidden="0"/>
    </dxf>
    <dxf>
      <numFmt numFmtId="166" formatCode="#,##0.00\ &quot;€&quot;"/>
      <fill>
        <patternFill patternType="none">
          <fgColor indexed="64"/>
          <bgColor auto="1"/>
        </patternFill>
      </fill>
      <protection locked="1" hidden="0"/>
    </dxf>
    <dxf>
      <numFmt numFmtId="169" formatCode="#,##0.00\ _€"/>
      <fill>
        <patternFill patternType="none">
          <fgColor indexed="64"/>
          <bgColor auto="1"/>
        </patternFill>
      </fill>
      <protection locked="1" hidden="0"/>
    </dxf>
    <dxf>
      <fill>
        <patternFill patternType="none">
          <fgColor indexed="64"/>
          <bgColor auto="1"/>
        </patternFill>
      </fill>
      <protection locked="1" hidden="0"/>
    </dxf>
    <dxf>
      <fill>
        <patternFill patternType="none">
          <fgColor indexed="64"/>
          <bgColor auto="1"/>
        </patternFill>
      </fill>
      <protection locked="1" hidden="0"/>
    </dxf>
    <dxf>
      <fill>
        <patternFill patternType="none">
          <fgColor indexed="64"/>
          <bgColor auto="1"/>
        </patternFill>
      </fill>
      <protection locked="1" hidden="0"/>
    </dxf>
    <dxf>
      <fill>
        <patternFill patternType="none">
          <fgColor indexed="64"/>
          <bgColor auto="1"/>
        </patternFill>
      </fill>
      <protection locked="1" hidden="0"/>
    </dxf>
    <dxf>
      <numFmt numFmtId="12" formatCode="#,##0.00\ &quot;€&quot;;[Red]\-#,##0.00\ &quot;€&quot;"/>
      <fill>
        <patternFill patternType="none">
          <fgColor indexed="64"/>
          <bgColor auto="1"/>
        </patternFill>
      </fill>
      <protection locked="1" hidden="0"/>
    </dxf>
    <dxf>
      <numFmt numFmtId="166" formatCode="#,##0.00\ &quot;€&quot;"/>
      <fill>
        <patternFill patternType="none">
          <fgColor indexed="64"/>
          <bgColor auto="1"/>
        </patternFill>
      </fill>
      <protection locked="1" hidden="0"/>
    </dxf>
    <dxf>
      <numFmt numFmtId="169" formatCode="#,##0.00\ _€"/>
      <fill>
        <patternFill patternType="none">
          <fgColor indexed="64"/>
          <bgColor auto="1"/>
        </patternFill>
      </fill>
      <protection locked="1" hidden="0"/>
    </dxf>
    <dxf>
      <fill>
        <patternFill patternType="none">
          <fgColor indexed="64"/>
          <bgColor auto="1"/>
        </patternFill>
      </fill>
      <protection locked="1" hidden="0"/>
    </dxf>
    <dxf>
      <numFmt numFmtId="166" formatCode="#,##0.00\ &quot;€&quot;"/>
      <alignment horizontal="right" vertical="center" textRotation="0" wrapText="1" indent="0" justifyLastLine="0" shrinkToFit="0" readingOrder="0"/>
    </dxf>
    <dxf>
      <numFmt numFmtId="166" formatCode="#,##0.00\ &quot;€&quot;"/>
      <alignment horizontal="general" vertical="bottom" textRotation="0" wrapText="1" indent="0" justifyLastLine="0" shrinkToFit="0" readingOrder="0"/>
    </dxf>
    <dxf>
      <numFmt numFmtId="166" formatCode="#,##0.00\ &quot;€&quot;"/>
      <alignment horizontal="general" vertical="bottom" textRotation="0" wrapText="1" indent="0" justifyLastLine="0" shrinkToFit="0" readingOrder="0"/>
    </dxf>
    <dxf>
      <numFmt numFmtId="166" formatCode="#,##0.00\ &quot;€&quot;"/>
      <alignment horizontal="general" vertical="bottom" textRotation="0" wrapText="1" indent="0" justifyLastLine="0" shrinkToFit="0" readingOrder="0"/>
    </dxf>
    <dxf>
      <alignment horizontal="center" vertical="bottom" textRotation="0" wrapText="1" indent="0" justifyLastLine="0" shrinkToFit="0" readingOrder="0"/>
    </dxf>
    <dxf>
      <numFmt numFmtId="166" formatCode="#,##0.00\ &quot;€&quot;"/>
      <alignment horizontal="general" vertical="bottom"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center" textRotation="0" wrapText="1" indent="0" justifyLastLine="0" shrinkToFit="0" readingOrder="0"/>
    </dxf>
    <dxf>
      <font>
        <b/>
        <strike val="0"/>
        <outline val="0"/>
        <shadow val="0"/>
        <u val="none"/>
        <vertAlign val="baseline"/>
        <sz val="12"/>
        <color theme="1"/>
        <name val="Calibri"/>
        <scheme val="minor"/>
      </font>
      <numFmt numFmtId="166" formatCode="#,##0.00\ &quot;€&quot;"/>
      <alignment horizontal="center" vertical="bottom" textRotation="0" wrapText="0" indent="0" justifyLastLine="0" shrinkToFit="0" readingOrder="0"/>
    </dxf>
    <dxf>
      <font>
        <b/>
        <strike val="0"/>
        <outline val="0"/>
        <shadow val="0"/>
        <u val="none"/>
        <vertAlign val="baseline"/>
        <sz val="11"/>
        <color theme="1"/>
        <name val="Calibri"/>
        <scheme val="minor"/>
      </font>
      <numFmt numFmtId="166" formatCode="#,##0.00\ &quot;€&quot;"/>
      <alignment horizontal="center" vertical="center" textRotation="0" wrapText="0" indent="0" justifyLastLine="0" shrinkToFit="0" readingOrder="0"/>
    </dxf>
    <dxf>
      <alignment horizontal="center" vertical="bottom" textRotation="0" wrapText="0" indent="0" justifyLastLine="0" shrinkToFit="0" readingOrder="0"/>
      <protection locked="0" hidden="0"/>
    </dxf>
    <dxf>
      <font>
        <strike val="0"/>
        <outline val="0"/>
        <shadow val="0"/>
        <u val="none"/>
        <vertAlign val="baseline"/>
        <sz val="12"/>
        <color theme="1"/>
        <name val="Calibri"/>
        <scheme val="minor"/>
      </font>
      <alignment horizontal="center" vertical="center" textRotation="0" wrapText="0" indent="0" justifyLastLine="0" shrinkToFit="0" readingOrder="0"/>
    </dxf>
    <dxf>
      <font>
        <b/>
        <i val="0"/>
        <color rgb="FFFF9900"/>
      </font>
    </dxf>
    <dxf>
      <font>
        <b/>
        <i val="0"/>
        <color rgb="FF00CC00"/>
      </font>
    </dxf>
    <dxf>
      <font>
        <b/>
        <i val="0"/>
        <color rgb="FFFF0000"/>
      </font>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border outline="0">
        <left style="thin">
          <color theme="4" tint="0.39997558519241921"/>
        </left>
      </border>
    </dxf>
    <dxf>
      <alignment vertical="bottom" textRotation="0" wrapText="1" justifyLastLine="0" shrinkToFit="0" readingOrder="0"/>
    </dxf>
    <dxf>
      <font>
        <b/>
        <i val="0"/>
        <strike val="0"/>
        <condense val="0"/>
        <extend val="0"/>
        <outline val="0"/>
        <shadow val="0"/>
        <u val="none"/>
        <vertAlign val="baseline"/>
        <sz val="11"/>
        <color theme="0"/>
        <name val="Calibri"/>
        <scheme val="minor"/>
      </font>
      <fill>
        <patternFill patternType="solid">
          <fgColor theme="4"/>
          <bgColor theme="4"/>
        </patternFill>
      </fill>
      <alignment horizontal="center" vertical="center" textRotation="0" wrapText="1" indent="0" justifyLastLine="0" shrinkToFit="0" readingOrder="0"/>
      <border diagonalUp="0" diagonalDown="0">
        <left style="thin">
          <color theme="4" tint="0.39997558519241921"/>
        </left>
        <right style="thin">
          <color theme="4" tint="0.39997558519241921"/>
        </right>
        <top/>
        <bottom/>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8" formatCode="mmmm\ yyyy"/>
      <alignment horizontal="right" vertical="center" textRotation="0" wrapText="1" indent="0" justifyLastLine="0" shrinkToFit="0" readingOrder="0"/>
    </dxf>
    <dxf>
      <numFmt numFmtId="168" formatCode="mmmm\ yyyy"/>
      <alignment horizontal="right" vertical="center" textRotation="0" wrapText="1" indent="0" justifyLastLine="0" shrinkToFit="0" readingOrder="0"/>
    </dxf>
    <dxf>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numFmt numFmtId="172" formatCode="m/d/yyyy"/>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center" vertical="bottom" textRotation="0" wrapText="1" indent="0" justifyLastLine="0" shrinkToFit="0" readingOrder="0"/>
    </dxf>
    <dxf>
      <alignment horizontal="general" vertical="bottom" textRotation="0" wrapText="1" indent="0"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center" vertical="bottom" textRotation="0" wrapText="1" indent="0" justifyLastLine="0" shrinkToFit="0" readingOrder="0"/>
    </dxf>
    <dxf>
      <alignment horizontal="general" vertical="bottom" textRotation="0" wrapText="1" indent="0"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font>
        <sz val="14"/>
        <color theme="1"/>
      </font>
      <fill>
        <patternFill patternType="solid">
          <bgColor theme="7" tint="0.79998168889431442"/>
        </patternFill>
      </fill>
      <border>
        <bottom style="thin">
          <color theme="7"/>
        </bottom>
        <vertical/>
        <horizontal/>
      </border>
    </dxf>
    <dxf>
      <font>
        <color theme="1"/>
      </font>
      <fill>
        <patternFill>
          <bgColor theme="7" tint="0.79998168889431442"/>
        </patternFill>
      </fill>
      <border diagonalUp="0" diagonalDown="0">
        <left/>
        <right/>
        <top/>
        <bottom/>
        <vertical/>
        <horizontal/>
      </border>
    </dxf>
    <dxf>
      <font>
        <color rgb="FF000000"/>
      </font>
      <fill>
        <patternFill>
          <bgColor rgb="FFF2F2F2"/>
        </patternFill>
      </fill>
      <border diagonalUp="0" diagonalDown="0">
        <left/>
        <right/>
        <top/>
        <bottom/>
        <vertical/>
        <horizontal/>
      </border>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3" defaultTableStyle="TableStyleMedium2" defaultPivotStyle="PivotStyleLight16">
    <tableStyle name="Monthly Budget" pivot="0" count="5">
      <tableStyleElement type="wholeTable" dxfId="271"/>
      <tableStyleElement type="headerRow" dxfId="270"/>
      <tableStyleElement type="totalRow" dxfId="269"/>
      <tableStyleElement type="lastColumn" dxfId="268"/>
      <tableStyleElement type="firstRowStripe" dxfId="267"/>
    </tableStyle>
    <tableStyle name="Product Price List Slicer" pivot="0" table="0" count="9">
      <tableStyleElement type="wholeTable" dxfId="266"/>
    </tableStyle>
    <tableStyle name="SlicerStyleDark4 2" pivot="0" table="0" count="10">
      <tableStyleElement type="wholeTable" dxfId="265"/>
      <tableStyleElement type="headerRow" dxfId="264"/>
    </tableStyle>
  </tableStyles>
  <colors>
    <mruColors>
      <color rgb="FF00CC00"/>
      <color rgb="FFFF9900"/>
      <color rgb="FFA957A9"/>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7" tint="-0.249977111117893"/>
          </font>
          <fill>
            <patternFill patternType="solid">
              <fgColor theme="7" tint="0.59999389629810485"/>
              <bgColor theme="7" tint="0.59999389629810485"/>
            </patternFill>
          </fill>
          <border>
            <left style="thin">
              <color theme="7" tint="0.59999389629810485"/>
            </left>
            <right style="thin">
              <color theme="7" tint="0.59999389629810485"/>
            </right>
            <top style="thin">
              <color theme="7" tint="0.59999389629810485"/>
            </top>
            <bottom style="thin">
              <color theme="7" tint="0.59999389629810485"/>
            </bottom>
            <vertical/>
            <horizontal/>
          </border>
        </dxf>
        <dxf>
          <font>
            <color theme="0"/>
          </font>
          <fill>
            <patternFill patternType="solid">
              <fgColor theme="7"/>
              <bgColor theme="7"/>
            </patternFill>
          </fill>
          <border>
            <left style="thin">
              <color theme="7"/>
            </left>
            <right style="thin">
              <color theme="7"/>
            </right>
            <top style="thin">
              <color theme="7"/>
            </top>
            <bottom style="thin">
              <color theme="7"/>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b val="0"/>
            <i val="0"/>
            <sz val="11"/>
            <color rgb="FF218544"/>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1"/>
            <color rgb="FF218544"/>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1"/>
            <color rgb="FF218544"/>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2"/>
            <color rgb="FF2CB15A"/>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1"/>
            <color rgb="FF218544"/>
            <name val="Century Gothic"/>
            <scheme val="none"/>
          </font>
          <fill>
            <patternFill patternType="solid">
              <fgColor rgb="FFAFDDF1"/>
              <bgColor rgb="FFBFBFBF"/>
            </patternFill>
          </fill>
          <border>
            <left style="thin">
              <color rgb="FFAFDDF1"/>
            </left>
            <right style="thin">
              <color rgb="FFAFDDF1"/>
            </right>
            <top style="thin">
              <color rgb="FFAFDDF1"/>
            </top>
            <bottom style="thin">
              <color rgb="FFAFDDF1"/>
            </bottom>
            <vertical/>
            <horizontal/>
          </border>
        </dxf>
        <dxf>
          <font>
            <b val="0"/>
            <i val="0"/>
            <sz val="11"/>
            <color rgb="FFFFFFFF"/>
            <name val="Century Gothic"/>
            <scheme val="none"/>
          </font>
          <fill>
            <patternFill patternType="solid">
              <fgColor rgb="FF39ADDC"/>
              <bgColor rgb="FF2CB15A"/>
            </patternFill>
          </fill>
          <border diagonalUp="0" diagonalDown="0">
            <left/>
            <right/>
            <top/>
            <bottom/>
            <vertical/>
            <horizontal/>
          </border>
        </dxf>
        <dxf>
          <font>
            <b val="0"/>
            <i val="0"/>
            <sz val="11"/>
            <color rgb="FF218544"/>
            <name val="Century Gothic"/>
            <scheme val="none"/>
          </font>
          <fill>
            <patternFill patternType="solid">
              <fgColor rgb="FFDFDFDF"/>
              <bgColor rgb="FFBFBFBF"/>
            </patternFill>
          </fill>
          <border diagonalUp="0" diagonalDown="0">
            <left/>
            <right/>
            <top/>
            <bottom/>
            <vertical/>
            <horizontal/>
          </border>
        </dxf>
        <dxf>
          <font>
            <b val="0"/>
            <i val="0"/>
            <sz val="11"/>
            <color rgb="FF218544"/>
            <name val="Century Gothic"/>
            <scheme val="none"/>
          </font>
          <fill>
            <patternFill patternType="solid">
              <fgColor rgb="FFC0C0C0"/>
              <bgColor rgb="FFA2E8BA"/>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Product Price List Slic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4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5.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b="0">
                <a:solidFill>
                  <a:schemeClr val="tx2"/>
                </a:solidFill>
              </a:defRPr>
            </a:pPr>
            <a:r>
              <a:rPr lang="fr-FR" sz="1500" b="0">
                <a:solidFill>
                  <a:schemeClr val="tx2"/>
                </a:solidFill>
              </a:rPr>
              <a:t>VUE D’ENSEMBLE DU BUDGET</a:t>
            </a:r>
          </a:p>
        </c:rich>
      </c:tx>
      <c:layout>
        <c:manualLayout>
          <c:xMode val="edge"/>
          <c:yMode val="edge"/>
          <c:x val="0.11267172051275741"/>
          <c:y val="0.10473324876700055"/>
        </c:manualLayout>
      </c:layout>
      <c:overlay val="0"/>
    </c:title>
    <c:autoTitleDeleted val="0"/>
    <c:plotArea>
      <c:layout/>
      <c:barChart>
        <c:barDir val="col"/>
        <c:grouping val="clustered"/>
        <c:varyColors val="0"/>
        <c:ser>
          <c:idx val="1"/>
          <c:order val="0"/>
          <c:tx>
            <c:strRef>
              <c:f>'Budget Mensuel'!$B$24</c:f>
              <c:strCache>
                <c:ptCount val="1"/>
                <c:pt idx="0">
                  <c:v>Dépenses</c:v>
                </c:pt>
              </c:strCache>
            </c:strRef>
          </c:tx>
          <c:spPr>
            <a:solidFill>
              <a:schemeClr val="accent5">
                <a:lumMod val="60000"/>
                <a:lumOff val="40000"/>
              </a:schemeClr>
            </a:solidFill>
            <a:ln>
              <a:solidFill>
                <a:schemeClr val="accent5">
                  <a:lumMod val="90000"/>
                </a:schemeClr>
              </a:solidFill>
            </a:ln>
            <a:effectLst>
              <a:outerShdw blurRad="50800" dist="12700" dir="2700000" algn="tl" rotWithShape="0">
                <a:prstClr val="black">
                  <a:alpha val="40000"/>
                </a:prstClr>
              </a:outerShdw>
            </a:effectLst>
          </c:spPr>
          <c:invertIfNegative val="0"/>
          <c:cat>
            <c:strRef>
              <c:f>'Budget Mensuel'!$C$22:$D$22</c:f>
              <c:strCache>
                <c:ptCount val="2"/>
                <c:pt idx="0">
                  <c:v>ESTIMÉ</c:v>
                </c:pt>
                <c:pt idx="1">
                  <c:v>RÉEL</c:v>
                </c:pt>
              </c:strCache>
            </c:strRef>
          </c:cat>
          <c:val>
            <c:numRef>
              <c:f>'Budget Mensuel'!$C$24:$D$24</c:f>
              <c:numCache>
                <c:formatCode>General</c:formatCode>
                <c:ptCount val="2"/>
                <c:pt idx="0">
                  <c:v>10600</c:v>
                </c:pt>
                <c:pt idx="1">
                  <c:v>0</c:v>
                </c:pt>
              </c:numCache>
            </c:numRef>
          </c:val>
        </c:ser>
        <c:ser>
          <c:idx val="0"/>
          <c:order val="1"/>
          <c:tx>
            <c:strRef>
              <c:f>'Budget Mensuel'!$B$23</c:f>
              <c:strCache>
                <c:ptCount val="1"/>
                <c:pt idx="0">
                  <c:v>Revenus</c:v>
                </c:pt>
              </c:strCache>
            </c:strRef>
          </c:tx>
          <c:spPr>
            <a:solidFill>
              <a:schemeClr val="accent4">
                <a:lumMod val="60000"/>
                <a:lumOff val="40000"/>
              </a:schemeClr>
            </a:solidFill>
            <a:ln>
              <a:solidFill>
                <a:schemeClr val="accent4"/>
              </a:solidFill>
            </a:ln>
            <a:effectLst>
              <a:outerShdw blurRad="50800" dist="12700" dir="2700000" algn="tl" rotWithShape="0">
                <a:prstClr val="black">
                  <a:alpha val="40000"/>
                </a:prstClr>
              </a:outerShdw>
            </a:effectLst>
          </c:spPr>
          <c:invertIfNegative val="0"/>
          <c:cat>
            <c:strRef>
              <c:f>'Budget Mensuel'!$C$22:$D$22</c:f>
              <c:strCache>
                <c:ptCount val="2"/>
                <c:pt idx="0">
                  <c:v>ESTIMÉ</c:v>
                </c:pt>
                <c:pt idx="1">
                  <c:v>RÉEL</c:v>
                </c:pt>
              </c:strCache>
            </c:strRef>
          </c:cat>
          <c:val>
            <c:numRef>
              <c:f>'Budget Mensuel'!$C$23:$D$23</c:f>
              <c:numCache>
                <c:formatCode>General</c:formatCode>
                <c:ptCount val="2"/>
                <c:pt idx="0">
                  <c:v>73950</c:v>
                </c:pt>
                <c:pt idx="1">
                  <c:v>296.78999999999996</c:v>
                </c:pt>
              </c:numCache>
            </c:numRef>
          </c:val>
        </c:ser>
        <c:dLbls>
          <c:showLegendKey val="0"/>
          <c:showVal val="0"/>
          <c:showCatName val="0"/>
          <c:showSerName val="0"/>
          <c:showPercent val="0"/>
          <c:showBubbleSize val="0"/>
        </c:dLbls>
        <c:gapWidth val="150"/>
        <c:overlap val="-3"/>
        <c:axId val="101374976"/>
        <c:axId val="101475072"/>
      </c:barChart>
      <c:catAx>
        <c:axId val="101374976"/>
        <c:scaling>
          <c:orientation val="minMax"/>
        </c:scaling>
        <c:delete val="0"/>
        <c:axPos val="b"/>
        <c:numFmt formatCode="General" sourceLinked="0"/>
        <c:majorTickMark val="out"/>
        <c:minorTickMark val="none"/>
        <c:tickLblPos val="nextTo"/>
        <c:txPr>
          <a:bodyPr/>
          <a:lstStyle/>
          <a:p>
            <a:pPr>
              <a:defRPr>
                <a:solidFill>
                  <a:schemeClr val="tx2"/>
                </a:solidFill>
              </a:defRPr>
            </a:pPr>
            <a:endParaRPr lang="fr-FR"/>
          </a:p>
        </c:txPr>
        <c:crossAx val="101475072"/>
        <c:crosses val="autoZero"/>
        <c:auto val="1"/>
        <c:lblAlgn val="ctr"/>
        <c:lblOffset val="100"/>
        <c:noMultiLvlLbl val="0"/>
      </c:catAx>
      <c:valAx>
        <c:axId val="101475072"/>
        <c:scaling>
          <c:orientation val="minMax"/>
        </c:scaling>
        <c:delete val="0"/>
        <c:axPos val="l"/>
        <c:majorGridlines/>
        <c:numFmt formatCode="General" sourceLinked="1"/>
        <c:majorTickMark val="out"/>
        <c:minorTickMark val="none"/>
        <c:tickLblPos val="nextTo"/>
        <c:txPr>
          <a:bodyPr/>
          <a:lstStyle/>
          <a:p>
            <a:pPr>
              <a:defRPr>
                <a:solidFill>
                  <a:schemeClr val="tx2"/>
                </a:solidFill>
              </a:defRPr>
            </a:pPr>
            <a:endParaRPr lang="fr-FR"/>
          </a:p>
        </c:txPr>
        <c:crossAx val="101374976"/>
        <c:crosses val="autoZero"/>
        <c:crossBetween val="between"/>
      </c:valAx>
    </c:plotArea>
    <c:legend>
      <c:legendPos val="t"/>
      <c:layout>
        <c:manualLayout>
          <c:xMode val="edge"/>
          <c:yMode val="edge"/>
          <c:x val="0.70958555034916704"/>
          <c:y val="4.7514522488001684E-2"/>
          <c:w val="0.22751044983421939"/>
          <c:h val="0.14741878341099834"/>
        </c:manualLayout>
      </c:layout>
      <c:overlay val="0"/>
      <c:txPr>
        <a:bodyPr/>
        <a:lstStyle/>
        <a:p>
          <a:pPr>
            <a:defRPr sz="1100">
              <a:solidFill>
                <a:schemeClr val="tx2"/>
              </a:solidFill>
            </a:defRPr>
          </a:pPr>
          <a:endParaRPr lang="fr-FR"/>
        </a:p>
      </c:txPr>
    </c:legend>
    <c:plotVisOnly val="1"/>
    <c:dispBlanksAs val="gap"/>
    <c:showDLblsOverMax val="0"/>
  </c:chart>
  <c:spPr>
    <a:solidFill>
      <a:schemeClr val="bg1">
        <a:lumMod val="95000"/>
      </a:schemeClr>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22"/>
    </mc:Choice>
    <mc:Fallback>
      <c:style val="22"/>
    </mc:Fallback>
  </mc:AlternateContent>
  <c:pivotSource>
    <c:name>[Anacyrgui 3.xlsm]TableauxDynamiques!Tableau croisé dynamique6</c:name>
    <c:fmtId val="0"/>
  </c:pivotSource>
  <c:chart>
    <c:title>
      <c:tx>
        <c:rich>
          <a:bodyPr/>
          <a:lstStyle/>
          <a:p>
            <a:pPr>
              <a:defRPr/>
            </a:pPr>
            <a:r>
              <a:rPr lang="en-US"/>
              <a:t>CA journalier moyen en fonction de la météo</a:t>
            </a:r>
          </a:p>
        </c:rich>
      </c:tx>
      <c:overlay val="0"/>
    </c:title>
    <c:autoTitleDeleted val="0"/>
    <c:pivotFmts>
      <c:pivotFmt>
        <c:idx val="0"/>
      </c:pivotFmt>
      <c:pivotFmt>
        <c:idx val="1"/>
        <c:marker>
          <c:symbol val="none"/>
        </c:marker>
        <c:dLbl>
          <c:idx val="0"/>
          <c:spPr/>
          <c:txPr>
            <a:bodyPr/>
            <a:lstStyle/>
            <a:p>
              <a:pPr>
                <a:defRPr sz="1050" b="1">
                  <a:solidFill>
                    <a:schemeClr val="bg1"/>
                  </a:solidFill>
                </a:defRPr>
              </a:pPr>
              <a:endParaRPr lang="fr-FR"/>
            </a:p>
          </c:txPr>
          <c:dLblPos val="inEnd"/>
          <c:showLegendKey val="0"/>
          <c:showVal val="1"/>
          <c:showCatName val="0"/>
          <c:showSerName val="0"/>
          <c:showPercent val="0"/>
          <c:showBubbleSize val="0"/>
        </c:dLbl>
      </c:pivotFmt>
      <c:pivotFmt>
        <c:idx val="2"/>
      </c:pivotFmt>
    </c:pivotFmts>
    <c:plotArea>
      <c:layout/>
      <c:barChart>
        <c:barDir val="col"/>
        <c:grouping val="clustered"/>
        <c:varyColors val="0"/>
        <c:ser>
          <c:idx val="0"/>
          <c:order val="0"/>
          <c:tx>
            <c:strRef>
              <c:f>TableauxDynamiques!$B$1</c:f>
              <c:strCache>
                <c:ptCount val="1"/>
                <c:pt idx="0">
                  <c:v>Total</c:v>
                </c:pt>
              </c:strCache>
            </c:strRef>
          </c:tx>
          <c:invertIfNegative val="0"/>
          <c:dLbls>
            <c:spPr/>
            <c:txPr>
              <a:bodyPr/>
              <a:lstStyle/>
              <a:p>
                <a:pPr>
                  <a:defRPr sz="1050" b="1">
                    <a:solidFill>
                      <a:schemeClr val="bg1"/>
                    </a:solidFill>
                  </a:defRPr>
                </a:pPr>
                <a:endParaRPr lang="fr-FR"/>
              </a:p>
            </c:txPr>
            <c:dLblPos val="inEnd"/>
            <c:showLegendKey val="0"/>
            <c:showVal val="1"/>
            <c:showCatName val="0"/>
            <c:showSerName val="0"/>
            <c:showPercent val="0"/>
            <c:showBubbleSize val="0"/>
            <c:showLeaderLines val="0"/>
          </c:dLbls>
          <c:cat>
            <c:strRef>
              <c:f>TableauxDynamiques!$A$2:$A$5</c:f>
              <c:strCache>
                <c:ptCount val="3"/>
                <c:pt idx="0">
                  <c:v>1</c:v>
                </c:pt>
                <c:pt idx="1">
                  <c:v>4</c:v>
                </c:pt>
                <c:pt idx="2">
                  <c:v>5</c:v>
                </c:pt>
              </c:strCache>
            </c:strRef>
          </c:cat>
          <c:val>
            <c:numRef>
              <c:f>TableauxDynamiques!$B$2:$B$5</c:f>
              <c:numCache>
                <c:formatCode>General</c:formatCode>
                <c:ptCount val="3"/>
                <c:pt idx="0">
                  <c:v>567.12</c:v>
                </c:pt>
                <c:pt idx="1">
                  <c:v>467.81666666666661</c:v>
                </c:pt>
                <c:pt idx="2">
                  <c:v>55.099999999999994</c:v>
                </c:pt>
              </c:numCache>
            </c:numRef>
          </c:val>
        </c:ser>
        <c:dLbls>
          <c:showLegendKey val="0"/>
          <c:showVal val="0"/>
          <c:showCatName val="0"/>
          <c:showSerName val="0"/>
          <c:showPercent val="0"/>
          <c:showBubbleSize val="0"/>
        </c:dLbls>
        <c:gapWidth val="150"/>
        <c:axId val="100603008"/>
        <c:axId val="100604544"/>
      </c:barChart>
      <c:catAx>
        <c:axId val="100603008"/>
        <c:scaling>
          <c:orientation val="minMax"/>
        </c:scaling>
        <c:delete val="0"/>
        <c:axPos val="b"/>
        <c:majorTickMark val="out"/>
        <c:minorTickMark val="none"/>
        <c:tickLblPos val="nextTo"/>
        <c:crossAx val="100604544"/>
        <c:crosses val="autoZero"/>
        <c:auto val="1"/>
        <c:lblAlgn val="ctr"/>
        <c:lblOffset val="100"/>
        <c:noMultiLvlLbl val="0"/>
      </c:catAx>
      <c:valAx>
        <c:axId val="100604544"/>
        <c:scaling>
          <c:orientation val="minMax"/>
        </c:scaling>
        <c:delete val="0"/>
        <c:axPos val="l"/>
        <c:majorGridlines/>
        <c:numFmt formatCode="General" sourceLinked="1"/>
        <c:majorTickMark val="out"/>
        <c:minorTickMark val="none"/>
        <c:tickLblPos val="nextTo"/>
        <c:crossAx val="100603008"/>
        <c:crosses val="autoZero"/>
        <c:crossBetween val="between"/>
      </c:valAx>
    </c:plotArea>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22"/>
    </mc:Choice>
    <mc:Fallback>
      <c:style val="22"/>
    </mc:Fallback>
  </mc:AlternateContent>
  <c:pivotSource>
    <c:name>[Anacyrgui 3.xlsm]TableauxDynamiques!Tableau croisé dynamique7</c:name>
    <c:fmtId val="2"/>
  </c:pivotSource>
  <c:chart>
    <c:title>
      <c:tx>
        <c:rich>
          <a:bodyPr/>
          <a:lstStyle/>
          <a:p>
            <a:pPr>
              <a:defRPr/>
            </a:pPr>
            <a:r>
              <a:rPr lang="en-US"/>
              <a:t>CA</a:t>
            </a:r>
            <a:r>
              <a:rPr lang="en-US" baseline="0"/>
              <a:t> par produit (€)</a:t>
            </a:r>
          </a:p>
        </c:rich>
      </c:tx>
      <c:layout>
        <c:manualLayout>
          <c:xMode val="edge"/>
          <c:yMode val="edge"/>
          <c:x val="0.35363250459834256"/>
          <c:y val="2.7972027972027972E-2"/>
        </c:manualLayout>
      </c:layout>
      <c:overlay val="0"/>
    </c:title>
    <c:autoTitleDeleted val="0"/>
    <c:pivotFmts>
      <c:pivotFmt>
        <c:idx val="0"/>
      </c:pivotFmt>
      <c:pivotFmt>
        <c:idx val="1"/>
      </c:pivotFmt>
      <c:pivotFmt>
        <c:idx val="2"/>
      </c:pivotFmt>
      <c:pivotFmt>
        <c:idx val="3"/>
        <c:dLbl>
          <c:idx val="0"/>
          <c:dLblPos val="inEnd"/>
          <c:showLegendKey val="0"/>
          <c:showVal val="1"/>
          <c:showCatName val="0"/>
          <c:showSerName val="0"/>
          <c:showPercent val="0"/>
          <c:showBubbleSize val="0"/>
        </c:dLbl>
      </c:pivotFmt>
      <c:pivotFmt>
        <c:idx val="4"/>
      </c:pivotFmt>
      <c:pivotFmt>
        <c:idx val="5"/>
        <c:dLbl>
          <c:idx val="0"/>
          <c:dLblPos val="inEnd"/>
          <c:showLegendKey val="0"/>
          <c:showVal val="1"/>
          <c:showCatName val="0"/>
          <c:showSerName val="0"/>
          <c:showPercent val="0"/>
          <c:showBubbleSize val="0"/>
        </c:dLbl>
      </c:pivotFmt>
      <c:pivotFmt>
        <c:idx val="6"/>
        <c:marker>
          <c:symbol val="none"/>
        </c:marker>
        <c:dLbl>
          <c:idx val="0"/>
          <c:dLblPos val="outEnd"/>
          <c:showLegendKey val="0"/>
          <c:showVal val="1"/>
          <c:showCatName val="0"/>
          <c:showSerName val="0"/>
          <c:showPercent val="0"/>
          <c:showBubbleSize val="0"/>
        </c:dLbl>
      </c:pivotFmt>
    </c:pivotFmts>
    <c:plotArea>
      <c:layout/>
      <c:barChart>
        <c:barDir val="bar"/>
        <c:grouping val="clustered"/>
        <c:varyColors val="0"/>
        <c:ser>
          <c:idx val="0"/>
          <c:order val="0"/>
          <c:tx>
            <c:strRef>
              <c:f>TableauxDynamiques!$B$13</c:f>
              <c:strCache>
                <c:ptCount val="1"/>
                <c:pt idx="0">
                  <c:v>Total</c:v>
                </c:pt>
              </c:strCache>
            </c:strRef>
          </c:tx>
          <c:invertIfNegative val="0"/>
          <c:dLbls>
            <c:spPr/>
            <c:txPr>
              <a:bodyPr/>
              <a:lstStyle/>
              <a:p>
                <a:pPr>
                  <a:defRPr/>
                </a:pPr>
                <a:endParaRPr lang="fr-FR"/>
              </a:p>
            </c:txPr>
            <c:dLblPos val="outEnd"/>
            <c:showLegendKey val="0"/>
            <c:showVal val="1"/>
            <c:showCatName val="0"/>
            <c:showSerName val="0"/>
            <c:showPercent val="0"/>
            <c:showBubbleSize val="0"/>
            <c:showLeaderLines val="0"/>
          </c:dLbls>
          <c:cat>
            <c:strRef>
              <c:f>TableauxDynamiques!$A$14:$A$19</c:f>
              <c:strCache>
                <c:ptCount val="5"/>
                <c:pt idx="0">
                  <c:v>Collier popcorn</c:v>
                </c:pt>
                <c:pt idx="1">
                  <c:v>Dragibus</c:v>
                </c:pt>
                <c:pt idx="2">
                  <c:v>Boucles fashion</c:v>
                </c:pt>
                <c:pt idx="3">
                  <c:v>Ensemble opales</c:v>
                </c:pt>
                <c:pt idx="4">
                  <c:v>Boucles d'or</c:v>
                </c:pt>
              </c:strCache>
            </c:strRef>
          </c:cat>
          <c:val>
            <c:numRef>
              <c:f>TableauxDynamiques!$B$14:$B$19</c:f>
              <c:numCache>
                <c:formatCode>General</c:formatCode>
                <c:ptCount val="5"/>
                <c:pt idx="0">
                  <c:v>52.5</c:v>
                </c:pt>
                <c:pt idx="1">
                  <c:v>5.2899999999999991</c:v>
                </c:pt>
                <c:pt idx="2">
                  <c:v>10</c:v>
                </c:pt>
                <c:pt idx="3">
                  <c:v>220</c:v>
                </c:pt>
                <c:pt idx="4">
                  <c:v>9</c:v>
                </c:pt>
              </c:numCache>
            </c:numRef>
          </c:val>
        </c:ser>
        <c:dLbls>
          <c:showLegendKey val="0"/>
          <c:showVal val="0"/>
          <c:showCatName val="0"/>
          <c:showSerName val="0"/>
          <c:showPercent val="0"/>
          <c:showBubbleSize val="0"/>
        </c:dLbls>
        <c:gapWidth val="150"/>
        <c:axId val="100625792"/>
        <c:axId val="100660352"/>
      </c:barChart>
      <c:catAx>
        <c:axId val="100625792"/>
        <c:scaling>
          <c:orientation val="minMax"/>
        </c:scaling>
        <c:delete val="0"/>
        <c:axPos val="l"/>
        <c:majorTickMark val="out"/>
        <c:minorTickMark val="none"/>
        <c:tickLblPos val="nextTo"/>
        <c:spPr>
          <a:ln>
            <a:noFill/>
          </a:ln>
        </c:spPr>
        <c:crossAx val="100660352"/>
        <c:crosses val="autoZero"/>
        <c:auto val="1"/>
        <c:lblAlgn val="ctr"/>
        <c:lblOffset val="100"/>
        <c:noMultiLvlLbl val="0"/>
      </c:catAx>
      <c:valAx>
        <c:axId val="100660352"/>
        <c:scaling>
          <c:orientation val="minMax"/>
        </c:scaling>
        <c:delete val="1"/>
        <c:axPos val="b"/>
        <c:numFmt formatCode="General" sourceLinked="1"/>
        <c:majorTickMark val="out"/>
        <c:minorTickMark val="none"/>
        <c:tickLblPos val="nextTo"/>
        <c:crossAx val="100625792"/>
        <c:crosses val="autoZero"/>
        <c:crossBetween val="between"/>
      </c:valAx>
      <c:spPr>
        <a:noFill/>
        <a:ln w="25400">
          <a:noFill/>
        </a:ln>
      </c:spPr>
    </c:plotArea>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[Anacyrgui 3.xlsm]TableauxDynamiques!Tableau croisé dynamique9</c:name>
    <c:fmtId val="2"/>
  </c:pivotSource>
  <c:chart>
    <c:title>
      <c:tx>
        <c:rich>
          <a:bodyPr/>
          <a:lstStyle/>
          <a:p>
            <a:pPr>
              <a:defRPr/>
            </a:pPr>
            <a:r>
              <a:rPr lang="en-US"/>
              <a:t>CA par nature d'activité (€)</a:t>
            </a:r>
          </a:p>
        </c:rich>
      </c:tx>
      <c:overlay val="0"/>
    </c:title>
    <c:autoTitleDeleted val="0"/>
    <c:pivotFmts>
      <c:pivotFmt>
        <c:idx val="0"/>
        <c:marker>
          <c:symbol val="none"/>
        </c:marker>
        <c:dLbl>
          <c:idx val="0"/>
          <c:spPr/>
          <c:txPr>
            <a:bodyPr/>
            <a:lstStyle/>
            <a:p>
              <a:pPr>
                <a:defRPr/>
              </a:pPr>
              <a:endParaRPr lang="fr-FR"/>
            </a:p>
          </c:txPr>
          <c:showLegendKey val="0"/>
          <c:showVal val="1"/>
          <c:showCatName val="0"/>
          <c:showSerName val="0"/>
          <c:showPercent val="0"/>
          <c:showBubbleSize val="0"/>
        </c:dLbl>
      </c:pivotFmt>
      <c:pivotFmt>
        <c:idx val="1"/>
        <c:marker>
          <c:symbol val="none"/>
        </c:marker>
      </c:pivotFmt>
      <c:pivotFmt>
        <c:idx val="2"/>
        <c:marker>
          <c:symbol val="none"/>
        </c:marker>
        <c:dLbl>
          <c:idx val="0"/>
          <c:spPr/>
          <c:txPr>
            <a:bodyPr/>
            <a:lstStyle/>
            <a:p>
              <a:pPr>
                <a:defRPr/>
              </a:pPr>
              <a:endParaRPr lang="fr-FR"/>
            </a:p>
          </c:txPr>
          <c:showLegendKey val="0"/>
          <c:showVal val="1"/>
          <c:showCatName val="0"/>
          <c:showSerName val="0"/>
          <c:showPercent val="0"/>
          <c:showBubbleSize val="0"/>
        </c:dLbl>
      </c:pivotFmt>
      <c:pivotFmt>
        <c:idx val="3"/>
        <c:marker>
          <c:symbol val="none"/>
        </c:marker>
        <c:dLbl>
          <c:idx val="0"/>
          <c:spPr/>
          <c:txPr>
            <a:bodyPr/>
            <a:lstStyle/>
            <a:p>
              <a:pPr>
                <a:defRPr sz="1050" b="1"/>
              </a:pPr>
              <a:endParaRPr lang="fr-FR"/>
            </a:p>
          </c:txPr>
          <c:dLblPos val="outEnd"/>
          <c:showLegendKey val="0"/>
          <c:showVal val="1"/>
          <c:showCatName val="0"/>
          <c:showSerName val="0"/>
          <c:showPercent val="0"/>
          <c:showBubbleSize val="0"/>
        </c:dLbl>
      </c:pivotFmt>
    </c:pivotFmts>
    <c:plotArea>
      <c:layout/>
      <c:pieChart>
        <c:varyColors val="1"/>
        <c:ser>
          <c:idx val="0"/>
          <c:order val="0"/>
          <c:tx>
            <c:strRef>
              <c:f>TableauxDynamiques!$B$25</c:f>
              <c:strCache>
                <c:ptCount val="1"/>
                <c:pt idx="0">
                  <c:v>Total</c:v>
                </c:pt>
              </c:strCache>
            </c:strRef>
          </c:tx>
          <c:dLbls>
            <c:spPr/>
            <c:txPr>
              <a:bodyPr/>
              <a:lstStyle/>
              <a:p>
                <a:pPr>
                  <a:defRPr sz="1050" b="1"/>
                </a:pPr>
                <a:endParaRPr lang="fr-FR"/>
              </a:p>
            </c:txPr>
            <c:dLblPos val="outEnd"/>
            <c:showLegendKey val="0"/>
            <c:showVal val="1"/>
            <c:showCatName val="0"/>
            <c:showSerName val="0"/>
            <c:showPercent val="0"/>
            <c:showBubbleSize val="0"/>
            <c:showLeaderLines val="1"/>
          </c:dLbls>
          <c:cat>
            <c:strRef>
              <c:f>TableauxDynamiques!$A$26:$A$31</c:f>
              <c:strCache>
                <c:ptCount val="5"/>
                <c:pt idx="0">
                  <c:v>Vente Boutique</c:v>
                </c:pt>
                <c:pt idx="1">
                  <c:v>Vente CE</c:v>
                </c:pt>
                <c:pt idx="2">
                  <c:v>Vente Domicile</c:v>
                </c:pt>
                <c:pt idx="3">
                  <c:v>Vente Foire</c:v>
                </c:pt>
                <c:pt idx="4">
                  <c:v>Vente Internet</c:v>
                </c:pt>
              </c:strCache>
            </c:strRef>
          </c:cat>
          <c:val>
            <c:numRef>
              <c:f>TableauxDynamiques!$B$26:$B$31</c:f>
              <c:numCache>
                <c:formatCode>General</c:formatCode>
                <c:ptCount val="5"/>
                <c:pt idx="0">
                  <c:v>55.29</c:v>
                </c:pt>
                <c:pt idx="1">
                  <c:v>131</c:v>
                </c:pt>
                <c:pt idx="2">
                  <c:v>79.5</c:v>
                </c:pt>
                <c:pt idx="3">
                  <c:v>10</c:v>
                </c:pt>
                <c:pt idx="4">
                  <c:v>21</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[Anacyrgui 3.xlsm]TableauxDynamiques!Tableau croisé dynamique1</c:name>
    <c:fmtId val="2"/>
  </c:pivotSource>
  <c:chart>
    <c:title>
      <c:tx>
        <c:rich>
          <a:bodyPr/>
          <a:lstStyle/>
          <a:p>
            <a:pPr>
              <a:defRPr/>
            </a:pPr>
            <a:r>
              <a:rPr lang="fr-FR"/>
              <a:t>Répartition des ventes par rapport au code caisse (€)</a:t>
            </a:r>
          </a:p>
        </c:rich>
      </c:tx>
      <c:overlay val="1"/>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dLbl>
          <c:idx val="0"/>
          <c:spPr>
            <a:effectLst/>
          </c:spPr>
          <c:txPr>
            <a:bodyPr/>
            <a:lstStyle/>
            <a:p>
              <a:pPr>
                <a:defRPr/>
              </a:pPr>
              <a:endParaRPr lang="fr-FR"/>
            </a:p>
          </c:txPr>
          <c:showLegendKey val="0"/>
          <c:showVal val="1"/>
          <c:showCatName val="0"/>
          <c:showSerName val="0"/>
          <c:showPercent val="0"/>
          <c:showBubbleSize val="0"/>
        </c:dLbl>
      </c:pivotFmt>
      <c:pivotFmt>
        <c:idx val="7"/>
        <c:marker>
          <c:symbol val="none"/>
        </c:marker>
        <c:dLbl>
          <c:idx val="0"/>
          <c:spPr/>
          <c:txPr>
            <a:bodyPr/>
            <a:lstStyle/>
            <a:p>
              <a:pPr>
                <a:defRPr/>
              </a:pPr>
              <a:endParaRPr lang="fr-FR"/>
            </a:p>
          </c:txPr>
          <c:showLegendKey val="0"/>
          <c:showVal val="1"/>
          <c:showCatName val="0"/>
          <c:showSerName val="0"/>
          <c:showPercent val="0"/>
          <c:showBubbleSize val="0"/>
        </c:dLbl>
      </c:pivotFmt>
      <c:pivotFmt>
        <c:idx val="8"/>
        <c:marker>
          <c:symbol val="none"/>
        </c:marker>
        <c:dLbl>
          <c:idx val="0"/>
          <c:spPr/>
          <c:txPr>
            <a:bodyPr/>
            <a:lstStyle/>
            <a:p>
              <a:pPr>
                <a:defRPr/>
              </a:pPr>
              <a:endParaRPr lang="fr-FR"/>
            </a:p>
          </c:txPr>
          <c:showLegendKey val="0"/>
          <c:showVal val="1"/>
          <c:showCatName val="0"/>
          <c:showSerName val="0"/>
          <c:showPercent val="0"/>
          <c:showBubbleSize val="0"/>
        </c:dLbl>
      </c:pivotFmt>
      <c:pivotFmt>
        <c:idx val="9"/>
        <c:marker>
          <c:symbol val="none"/>
        </c:marker>
        <c:dLbl>
          <c:idx val="0"/>
          <c:spPr/>
          <c:txPr>
            <a:bodyPr/>
            <a:lstStyle/>
            <a:p>
              <a:pPr>
                <a:defRPr/>
              </a:pPr>
              <a:endParaRPr lang="fr-FR"/>
            </a:p>
          </c:txPr>
          <c:showLegendKey val="0"/>
          <c:showVal val="1"/>
          <c:showCatName val="0"/>
          <c:showSerName val="0"/>
          <c:showPercent val="0"/>
          <c:showBubbleSize val="0"/>
        </c:dLbl>
      </c:pivotFmt>
    </c:pivotFmts>
    <c:plotArea>
      <c:layout>
        <c:manualLayout>
          <c:layoutTarget val="inner"/>
          <c:xMode val="edge"/>
          <c:yMode val="edge"/>
          <c:x val="4.7478681510963731E-2"/>
          <c:y val="2.8695582872942355E-2"/>
          <c:w val="0.95175471384083377"/>
          <c:h val="0.8575565804557741"/>
        </c:manualLayout>
      </c:layout>
      <c:barChart>
        <c:barDir val="col"/>
        <c:grouping val="stacked"/>
        <c:varyColors val="0"/>
        <c:ser>
          <c:idx val="0"/>
          <c:order val="0"/>
          <c:tx>
            <c:strRef>
              <c:f>TableauxDynamiques!$B$34:$B$35</c:f>
              <c:strCache>
                <c:ptCount val="1"/>
                <c:pt idx="0">
                  <c:v>1</c:v>
                </c:pt>
              </c:strCache>
            </c:strRef>
          </c:tx>
          <c:invertIfNegative val="0"/>
          <c:dLbls>
            <c:spPr>
              <a:effectLst/>
            </c:spPr>
            <c:txPr>
              <a:bodyPr/>
              <a:lstStyle/>
              <a:p>
                <a:pPr>
                  <a:defRPr/>
                </a:pPr>
                <a:endParaRPr lang="fr-FR"/>
              </a:p>
            </c:txPr>
            <c:showLegendKey val="0"/>
            <c:showVal val="1"/>
            <c:showCatName val="0"/>
            <c:showSerName val="0"/>
            <c:showPercent val="0"/>
            <c:showBubbleSize val="0"/>
            <c:showLeaderLines val="0"/>
          </c:dLbls>
          <c:cat>
            <c:multiLvlStrRef>
              <c:f>TableauxDynamiques!$A$36:$A$43</c:f>
              <c:multiLvlStrCache>
                <c:ptCount val="5"/>
                <c:lvl>
                  <c:pt idx="0">
                    <c:v>décembre</c:v>
                  </c:pt>
                  <c:pt idx="1">
                    <c:v>janvier</c:v>
                  </c:pt>
                  <c:pt idx="2">
                    <c:v>mars</c:v>
                  </c:pt>
                  <c:pt idx="3">
                    <c:v>avril</c:v>
                  </c:pt>
                  <c:pt idx="4">
                    <c:v>mai</c:v>
                  </c:pt>
                </c:lvl>
                <c:lvl>
                  <c:pt idx="0">
                    <c:v>2012</c:v>
                  </c:pt>
                  <c:pt idx="1">
                    <c:v>2013</c:v>
                  </c:pt>
                </c:lvl>
              </c:multiLvlStrCache>
            </c:multiLvlStrRef>
          </c:cat>
          <c:val>
            <c:numRef>
              <c:f>TableauxDynamiques!$B$36:$B$43</c:f>
              <c:numCache>
                <c:formatCode>General</c:formatCode>
                <c:ptCount val="5"/>
                <c:pt idx="2">
                  <c:v>2.76</c:v>
                </c:pt>
                <c:pt idx="4">
                  <c:v>2.5299999999999998</c:v>
                </c:pt>
              </c:numCache>
            </c:numRef>
          </c:val>
        </c:ser>
        <c:ser>
          <c:idx val="1"/>
          <c:order val="1"/>
          <c:tx>
            <c:strRef>
              <c:f>TableauxDynamiques!$C$34:$C$35</c:f>
              <c:strCache>
                <c:ptCount val="1"/>
                <c:pt idx="0">
                  <c:v>2</c:v>
                </c:pt>
              </c:strCache>
            </c:strRef>
          </c:tx>
          <c:invertIfNegative val="0"/>
          <c:dLbls>
            <c:spPr/>
            <c:txPr>
              <a:bodyPr/>
              <a:lstStyle/>
              <a:p>
                <a:pPr>
                  <a:defRPr/>
                </a:pPr>
                <a:endParaRPr lang="fr-FR"/>
              </a:p>
            </c:txPr>
            <c:showLegendKey val="0"/>
            <c:showVal val="1"/>
            <c:showCatName val="0"/>
            <c:showSerName val="0"/>
            <c:showPercent val="0"/>
            <c:showBubbleSize val="0"/>
            <c:showLeaderLines val="0"/>
          </c:dLbls>
          <c:cat>
            <c:multiLvlStrRef>
              <c:f>TableauxDynamiques!$A$36:$A$43</c:f>
              <c:multiLvlStrCache>
                <c:ptCount val="5"/>
                <c:lvl>
                  <c:pt idx="0">
                    <c:v>décembre</c:v>
                  </c:pt>
                  <c:pt idx="1">
                    <c:v>janvier</c:v>
                  </c:pt>
                  <c:pt idx="2">
                    <c:v>mars</c:v>
                  </c:pt>
                  <c:pt idx="3">
                    <c:v>avril</c:v>
                  </c:pt>
                  <c:pt idx="4">
                    <c:v>mai</c:v>
                  </c:pt>
                </c:lvl>
                <c:lvl>
                  <c:pt idx="0">
                    <c:v>2012</c:v>
                  </c:pt>
                  <c:pt idx="1">
                    <c:v>2013</c:v>
                  </c:pt>
                </c:lvl>
              </c:multiLvlStrCache>
            </c:multiLvlStrRef>
          </c:cat>
          <c:val>
            <c:numRef>
              <c:f>TableauxDynamiques!$C$36:$C$43</c:f>
              <c:numCache>
                <c:formatCode>General</c:formatCode>
                <c:ptCount val="5"/>
                <c:pt idx="3">
                  <c:v>14</c:v>
                </c:pt>
                <c:pt idx="4">
                  <c:v>5</c:v>
                </c:pt>
              </c:numCache>
            </c:numRef>
          </c:val>
        </c:ser>
        <c:ser>
          <c:idx val="2"/>
          <c:order val="2"/>
          <c:tx>
            <c:strRef>
              <c:f>TableauxDynamiques!$D$34:$D$35</c:f>
              <c:strCache>
                <c:ptCount val="1"/>
                <c:pt idx="0">
                  <c:v>3</c:v>
                </c:pt>
              </c:strCache>
            </c:strRef>
          </c:tx>
          <c:invertIfNegative val="0"/>
          <c:dLbls>
            <c:spPr/>
            <c:txPr>
              <a:bodyPr/>
              <a:lstStyle/>
              <a:p>
                <a:pPr>
                  <a:defRPr/>
                </a:pPr>
                <a:endParaRPr lang="fr-FR"/>
              </a:p>
            </c:txPr>
            <c:showLegendKey val="0"/>
            <c:showVal val="1"/>
            <c:showCatName val="0"/>
            <c:showSerName val="0"/>
            <c:showPercent val="0"/>
            <c:showBubbleSize val="0"/>
            <c:showLeaderLines val="0"/>
          </c:dLbls>
          <c:cat>
            <c:multiLvlStrRef>
              <c:f>TableauxDynamiques!$A$36:$A$43</c:f>
              <c:multiLvlStrCache>
                <c:ptCount val="5"/>
                <c:lvl>
                  <c:pt idx="0">
                    <c:v>décembre</c:v>
                  </c:pt>
                  <c:pt idx="1">
                    <c:v>janvier</c:v>
                  </c:pt>
                  <c:pt idx="2">
                    <c:v>mars</c:v>
                  </c:pt>
                  <c:pt idx="3">
                    <c:v>avril</c:v>
                  </c:pt>
                  <c:pt idx="4">
                    <c:v>mai</c:v>
                  </c:pt>
                </c:lvl>
                <c:lvl>
                  <c:pt idx="0">
                    <c:v>2012</c:v>
                  </c:pt>
                  <c:pt idx="1">
                    <c:v>2013</c:v>
                  </c:pt>
                </c:lvl>
              </c:multiLvlStrCache>
            </c:multiLvlStrRef>
          </c:cat>
          <c:val>
            <c:numRef>
              <c:f>TableauxDynamiques!$D$36:$D$43</c:f>
              <c:numCache>
                <c:formatCode>General</c:formatCode>
                <c:ptCount val="5"/>
                <c:pt idx="1">
                  <c:v>11</c:v>
                </c:pt>
                <c:pt idx="3">
                  <c:v>20.5</c:v>
                </c:pt>
                <c:pt idx="4">
                  <c:v>21</c:v>
                </c:pt>
              </c:numCache>
            </c:numRef>
          </c:val>
        </c:ser>
        <c:ser>
          <c:idx val="3"/>
          <c:order val="3"/>
          <c:tx>
            <c:strRef>
              <c:f>TableauxDynamiques!$E$34:$E$35</c:f>
              <c:strCache>
                <c:ptCount val="1"/>
                <c:pt idx="0">
                  <c:v>4</c:v>
                </c:pt>
              </c:strCache>
            </c:strRef>
          </c:tx>
          <c:invertIfNegative val="0"/>
          <c:dLbls>
            <c:spPr/>
            <c:txPr>
              <a:bodyPr/>
              <a:lstStyle/>
              <a:p>
                <a:pPr>
                  <a:defRPr/>
                </a:pPr>
                <a:endParaRPr lang="fr-FR"/>
              </a:p>
            </c:txPr>
            <c:showLegendKey val="0"/>
            <c:showVal val="1"/>
            <c:showCatName val="0"/>
            <c:showSerName val="0"/>
            <c:showPercent val="0"/>
            <c:showBubbleSize val="0"/>
            <c:showLeaderLines val="0"/>
          </c:dLbls>
          <c:cat>
            <c:multiLvlStrRef>
              <c:f>TableauxDynamiques!$A$36:$A$43</c:f>
              <c:multiLvlStrCache>
                <c:ptCount val="5"/>
                <c:lvl>
                  <c:pt idx="0">
                    <c:v>décembre</c:v>
                  </c:pt>
                  <c:pt idx="1">
                    <c:v>janvier</c:v>
                  </c:pt>
                  <c:pt idx="2">
                    <c:v>mars</c:v>
                  </c:pt>
                  <c:pt idx="3">
                    <c:v>avril</c:v>
                  </c:pt>
                  <c:pt idx="4">
                    <c:v>mai</c:v>
                  </c:pt>
                </c:lvl>
                <c:lvl>
                  <c:pt idx="0">
                    <c:v>2012</c:v>
                  </c:pt>
                  <c:pt idx="1">
                    <c:v>2013</c:v>
                  </c:pt>
                </c:lvl>
              </c:multiLvlStrCache>
            </c:multiLvlStrRef>
          </c:cat>
          <c:val>
            <c:numRef>
              <c:f>TableauxDynamiques!$E$36:$E$43</c:f>
              <c:numCache>
                <c:formatCode>General</c:formatCode>
                <c:ptCount val="5"/>
                <c:pt idx="0">
                  <c:v>40</c:v>
                </c:pt>
                <c:pt idx="3">
                  <c:v>60</c:v>
                </c:pt>
                <c:pt idx="4">
                  <c:v>120</c:v>
                </c:pt>
              </c:numCache>
            </c:numRef>
          </c:val>
        </c:ser>
        <c:dLbls>
          <c:showLegendKey val="0"/>
          <c:showVal val="1"/>
          <c:showCatName val="0"/>
          <c:showSerName val="0"/>
          <c:showPercent val="0"/>
          <c:showBubbleSize val="0"/>
        </c:dLbls>
        <c:gapWidth val="150"/>
        <c:overlap val="100"/>
        <c:axId val="103654144"/>
        <c:axId val="103655680"/>
      </c:barChart>
      <c:catAx>
        <c:axId val="103654144"/>
        <c:scaling>
          <c:orientation val="minMax"/>
        </c:scaling>
        <c:delete val="0"/>
        <c:axPos val="b"/>
        <c:majorTickMark val="out"/>
        <c:minorTickMark val="none"/>
        <c:tickLblPos val="nextTo"/>
        <c:spPr>
          <a:ln>
            <a:noFill/>
          </a:ln>
        </c:spPr>
        <c:crossAx val="103655680"/>
        <c:crosses val="autoZero"/>
        <c:auto val="1"/>
        <c:lblAlgn val="ctr"/>
        <c:lblOffset val="100"/>
        <c:noMultiLvlLbl val="0"/>
      </c:catAx>
      <c:valAx>
        <c:axId val="103655680"/>
        <c:scaling>
          <c:orientation val="minMax"/>
        </c:scaling>
        <c:delete val="0"/>
        <c:axPos val="l"/>
        <c:numFmt formatCode="#,##0.00\ &quot;€&quot;" sourceLinked="0"/>
        <c:majorTickMark val="out"/>
        <c:minorTickMark val="none"/>
        <c:tickLblPos val="nextTo"/>
        <c:txPr>
          <a:bodyPr/>
          <a:lstStyle/>
          <a:p>
            <a:pPr>
              <a:defRPr sz="1050" b="1"/>
            </a:pPr>
            <a:endParaRPr lang="fr-FR"/>
          </a:p>
        </c:txPr>
        <c:crossAx val="103654144"/>
        <c:crosses val="autoZero"/>
        <c:crossBetween val="between"/>
      </c:valAx>
    </c:plotArea>
    <c:legend>
      <c:legendPos val="r"/>
      <c:overlay val="0"/>
    </c:legend>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trlProps/ctrlProp1.xml><?xml version="1.0" encoding="utf-8"?>
<formControlPr xmlns="http://schemas.microsoft.com/office/spreadsheetml/2009/9/main" objectType="Scroll" dx="16" horiz="1" max="5" min="1" page="10" val="4"/>
</file>

<file path=xl/drawings/_rels/drawing1.xml.rels><?xml version="1.0" encoding="UTF-8" standalone="yes"?>
<Relationships xmlns="http://schemas.openxmlformats.org/package/2006/relationships"><Relationship Id="rId3" Type="http://schemas.openxmlformats.org/officeDocument/2006/relationships/hyperlink" Target="#'Gestion des produits'!A1"/><Relationship Id="rId2" Type="http://schemas.openxmlformats.org/officeDocument/2006/relationships/hyperlink" Target="#'Gestion des stocks'!A1"/><Relationship Id="rId1" Type="http://schemas.openxmlformats.org/officeDocument/2006/relationships/hyperlink" Target="#'Budget Mensuel'!A1"/><Relationship Id="rId6" Type="http://schemas.openxmlformats.org/officeDocument/2006/relationships/image" Target="../media/image1.png"/><Relationship Id="rId5" Type="http://schemas.openxmlformats.org/officeDocument/2006/relationships/hyperlink" Target="#'Fiche de caisse'!A1"/><Relationship Id="rId4" Type="http://schemas.openxmlformats.org/officeDocument/2006/relationships/hyperlink" Target="#'Gestion des fournisseurs'!A1"/></Relationships>
</file>

<file path=xl/drawings/_rels/drawing2.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hyperlink" Target="#'Journal des achats'!A1"/><Relationship Id="rId2" Type="http://schemas.openxmlformats.org/officeDocument/2006/relationships/hyperlink" Target="#Menu!A1"/><Relationship Id="rId1" Type="http://schemas.openxmlformats.org/officeDocument/2006/relationships/image" Target="../media/image1.png"/><Relationship Id="rId4" Type="http://schemas.openxmlformats.org/officeDocument/2006/relationships/hyperlink" Target="#'Journal des ventes'!A1"/></Relationships>
</file>

<file path=xl/drawings/_rels/drawing5.xml.rels><?xml version="1.0" encoding="UTF-8" standalone="yes"?>
<Relationships xmlns="http://schemas.openxmlformats.org/package/2006/relationships"><Relationship Id="rId3" Type="http://schemas.openxmlformats.org/officeDocument/2006/relationships/hyperlink" Target="#'Gestion des stocks'!A1"/><Relationship Id="rId2" Type="http://schemas.openxmlformats.org/officeDocument/2006/relationships/image" Target="../media/image1.png"/><Relationship Id="rId1" Type="http://schemas.openxmlformats.org/officeDocument/2006/relationships/hyperlink" Target="#Menu!A1"/></Relationships>
</file>

<file path=xl/drawings/_rels/drawing6.xml.rels><?xml version="1.0" encoding="UTF-8" standalone="yes"?>
<Relationships xmlns="http://schemas.openxmlformats.org/package/2006/relationships"><Relationship Id="rId3" Type="http://schemas.openxmlformats.org/officeDocument/2006/relationships/hyperlink" Target="#'Gestion des stocks'!A1"/><Relationship Id="rId2" Type="http://schemas.openxmlformats.org/officeDocument/2006/relationships/image" Target="../media/image1.png"/><Relationship Id="rId1" Type="http://schemas.openxmlformats.org/officeDocument/2006/relationships/hyperlink" Target="#Menu!A1"/></Relationships>
</file>

<file path=xl/drawings/_rels/drawing7.xml.rels><?xml version="1.0" encoding="UTF-8" standalone="yes"?>
<Relationships xmlns="http://schemas.openxmlformats.org/package/2006/relationships"><Relationship Id="rId3" Type="http://schemas.openxmlformats.org/officeDocument/2006/relationships/hyperlink" Target="#'Gestion des stocks'!A1"/><Relationship Id="rId2" Type="http://schemas.openxmlformats.org/officeDocument/2006/relationships/image" Target="../media/image1.png"/><Relationship Id="rId1" Type="http://schemas.openxmlformats.org/officeDocument/2006/relationships/hyperlink" Target="#Menu!A1"/></Relationships>
</file>

<file path=xl/drawings/_rels/drawing8.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Menu!A1"/><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2.jpg"/><Relationship Id="rId2" Type="http://schemas.openxmlformats.org/officeDocument/2006/relationships/hyperlink" Target="#Menu!A1"/><Relationship Id="rId1" Type="http://schemas.openxmlformats.org/officeDocument/2006/relationships/image" Target="../media/image1.png"/><Relationship Id="rId5" Type="http://schemas.openxmlformats.org/officeDocument/2006/relationships/hyperlink" Target="#'Historique journ&#233;e'!A1"/><Relationship Id="rId4" Type="http://schemas.openxmlformats.org/officeDocument/2006/relationships/image" Target="../media/image3.jpg"/></Relationships>
</file>

<file path=xl/drawings/_rels/drawing10.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2.xml"/><Relationship Id="rId7" Type="http://schemas.openxmlformats.org/officeDocument/2006/relationships/chart" Target="../charts/chart4.xml"/><Relationship Id="rId2" Type="http://schemas.openxmlformats.org/officeDocument/2006/relationships/hyperlink" Target="#Menu!A1"/><Relationship Id="rId1" Type="http://schemas.openxmlformats.org/officeDocument/2006/relationships/image" Target="../media/image1.png"/><Relationship Id="rId6" Type="http://schemas.openxmlformats.org/officeDocument/2006/relationships/chart" Target="../charts/chart3.xml"/><Relationship Id="rId5" Type="http://schemas.openxmlformats.org/officeDocument/2006/relationships/image" Target="../media/image5.jpe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3</xdr:col>
      <xdr:colOff>761999</xdr:colOff>
      <xdr:row>17</xdr:row>
      <xdr:rowOff>66675</xdr:rowOff>
    </xdr:from>
    <xdr:to>
      <xdr:col>6</xdr:col>
      <xdr:colOff>485774</xdr:colOff>
      <xdr:row>20</xdr:row>
      <xdr:rowOff>38100</xdr:rowOff>
    </xdr:to>
    <xdr:sp macro="[0]!Rectangle1_Cliquer" textlink="">
      <xdr:nvSpPr>
        <xdr:cNvPr id="2" name="Rectangle 1">
          <a:hlinkClick xmlns:r="http://schemas.openxmlformats.org/officeDocument/2006/relationships" r:id="rId1"/>
        </xdr:cNvPr>
        <xdr:cNvSpPr/>
      </xdr:nvSpPr>
      <xdr:spPr>
        <a:xfrm>
          <a:off x="3047999" y="3409950"/>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fr-FR" sz="1100"/>
            <a:t>Budget mensuel</a:t>
          </a:r>
        </a:p>
      </xdr:txBody>
    </xdr:sp>
    <xdr:clientData/>
  </xdr:twoCellAnchor>
  <xdr:twoCellAnchor editAs="oneCell">
    <xdr:from>
      <xdr:col>8</xdr:col>
      <xdr:colOff>0</xdr:colOff>
      <xdr:row>18</xdr:row>
      <xdr:rowOff>0</xdr:rowOff>
    </xdr:from>
    <xdr:to>
      <xdr:col>8</xdr:col>
      <xdr:colOff>304800</xdr:colOff>
      <xdr:row>19</xdr:row>
      <xdr:rowOff>114300</xdr:rowOff>
    </xdr:to>
    <xdr:sp macro="" textlink="">
      <xdr:nvSpPr>
        <xdr:cNvPr id="1025" name="AutoShape 1" descr="https://groupe4miage.googlegroups.com/attach/aa5975d7e918c580/banni%C3%A8re.png?view=1&amp;part=4&amp;hl=fr"/>
        <xdr:cNvSpPr>
          <a:spLocks noChangeAspect="1" noChangeArrowheads="1"/>
        </xdr:cNvSpPr>
      </xdr:nvSpPr>
      <xdr:spPr bwMode="auto">
        <a:xfrm>
          <a:off x="5334000" y="342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6</xdr:col>
      <xdr:colOff>123824</xdr:colOff>
      <xdr:row>8</xdr:row>
      <xdr:rowOff>57150</xdr:rowOff>
    </xdr:from>
    <xdr:to>
      <xdr:col>8</xdr:col>
      <xdr:colOff>609599</xdr:colOff>
      <xdr:row>11</xdr:row>
      <xdr:rowOff>28575</xdr:rowOff>
    </xdr:to>
    <xdr:sp macro="[0]!Rectangle1_Cliquer" textlink="">
      <xdr:nvSpPr>
        <xdr:cNvPr id="5" name="Rectangle 4">
          <a:hlinkClick xmlns:r="http://schemas.openxmlformats.org/officeDocument/2006/relationships" r:id="rId2"/>
        </xdr:cNvPr>
        <xdr:cNvSpPr/>
      </xdr:nvSpPr>
      <xdr:spPr>
        <a:xfrm>
          <a:off x="4695824" y="168592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Gestion des stocks</a:t>
          </a:r>
        </a:p>
      </xdr:txBody>
    </xdr:sp>
    <xdr:clientData/>
  </xdr:twoCellAnchor>
  <xdr:twoCellAnchor>
    <xdr:from>
      <xdr:col>8</xdr:col>
      <xdr:colOff>190499</xdr:colOff>
      <xdr:row>12</xdr:row>
      <xdr:rowOff>142875</xdr:rowOff>
    </xdr:from>
    <xdr:to>
      <xdr:col>10</xdr:col>
      <xdr:colOff>676274</xdr:colOff>
      <xdr:row>15</xdr:row>
      <xdr:rowOff>114300</xdr:rowOff>
    </xdr:to>
    <xdr:sp macro="[0]!Rectangle1_Cliquer" textlink="">
      <xdr:nvSpPr>
        <xdr:cNvPr id="6" name="Rectangle 5">
          <a:hlinkClick xmlns:r="http://schemas.openxmlformats.org/officeDocument/2006/relationships" r:id="rId3"/>
        </xdr:cNvPr>
        <xdr:cNvSpPr/>
      </xdr:nvSpPr>
      <xdr:spPr>
        <a:xfrm>
          <a:off x="6286499" y="2533650"/>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Gestion des produits</a:t>
          </a:r>
        </a:p>
      </xdr:txBody>
    </xdr:sp>
    <xdr:clientData/>
  </xdr:twoCellAnchor>
  <xdr:twoCellAnchor>
    <xdr:from>
      <xdr:col>8</xdr:col>
      <xdr:colOff>161924</xdr:colOff>
      <xdr:row>17</xdr:row>
      <xdr:rowOff>38100</xdr:rowOff>
    </xdr:from>
    <xdr:to>
      <xdr:col>10</xdr:col>
      <xdr:colOff>647699</xdr:colOff>
      <xdr:row>20</xdr:row>
      <xdr:rowOff>9525</xdr:rowOff>
    </xdr:to>
    <xdr:sp macro="[0]!Rectangle1_Cliquer" textlink="">
      <xdr:nvSpPr>
        <xdr:cNvPr id="7" name="Rectangle 6">
          <a:hlinkClick xmlns:r="http://schemas.openxmlformats.org/officeDocument/2006/relationships" r:id="rId4"/>
        </xdr:cNvPr>
        <xdr:cNvSpPr/>
      </xdr:nvSpPr>
      <xdr:spPr>
        <a:xfrm>
          <a:off x="6257924" y="338137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Gestion des fournisseurs</a:t>
          </a:r>
        </a:p>
      </xdr:txBody>
    </xdr:sp>
    <xdr:clientData/>
  </xdr:twoCellAnchor>
  <xdr:twoCellAnchor>
    <xdr:from>
      <xdr:col>3</xdr:col>
      <xdr:colOff>761999</xdr:colOff>
      <xdr:row>12</xdr:row>
      <xdr:rowOff>152400</xdr:rowOff>
    </xdr:from>
    <xdr:to>
      <xdr:col>6</xdr:col>
      <xdr:colOff>485774</xdr:colOff>
      <xdr:row>15</xdr:row>
      <xdr:rowOff>123825</xdr:rowOff>
    </xdr:to>
    <xdr:sp macro="[0]!MiseAJourTDB" textlink="">
      <xdr:nvSpPr>
        <xdr:cNvPr id="8" name="Rectangle 7"/>
        <xdr:cNvSpPr/>
      </xdr:nvSpPr>
      <xdr:spPr>
        <a:xfrm>
          <a:off x="3047999" y="254317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fr-FR" sz="1100"/>
            <a:t>Tableau</a:t>
          </a:r>
          <a:r>
            <a:rPr lang="fr-FR" sz="1100" baseline="0"/>
            <a:t> de bord</a:t>
          </a:r>
          <a:endParaRPr lang="fr-FR" sz="1100"/>
        </a:p>
      </xdr:txBody>
    </xdr:sp>
    <xdr:clientData/>
  </xdr:twoCellAnchor>
  <xdr:twoCellAnchor>
    <xdr:from>
      <xdr:col>6</xdr:col>
      <xdr:colOff>85725</xdr:colOff>
      <xdr:row>21</xdr:row>
      <xdr:rowOff>133350</xdr:rowOff>
    </xdr:from>
    <xdr:to>
      <xdr:col>8</xdr:col>
      <xdr:colOff>571500</xdr:colOff>
      <xdr:row>24</xdr:row>
      <xdr:rowOff>104775</xdr:rowOff>
    </xdr:to>
    <xdr:sp macro="[0]!Rectangle1_Cliquer" textlink="">
      <xdr:nvSpPr>
        <xdr:cNvPr id="9" name="Rectangle 8">
          <a:hlinkClick xmlns:r="http://schemas.openxmlformats.org/officeDocument/2006/relationships" r:id="rId5"/>
        </xdr:cNvPr>
        <xdr:cNvSpPr/>
      </xdr:nvSpPr>
      <xdr:spPr>
        <a:xfrm>
          <a:off x="4657725" y="423862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Fiche de caisse</a:t>
          </a:r>
        </a:p>
      </xdr:txBody>
    </xdr:sp>
    <xdr:clientData/>
  </xdr:twoCellAnchor>
  <xdr:twoCellAnchor>
    <xdr:from>
      <xdr:col>13</xdr:col>
      <xdr:colOff>657225</xdr:colOff>
      <xdr:row>5</xdr:row>
      <xdr:rowOff>190499</xdr:rowOff>
    </xdr:from>
    <xdr:to>
      <xdr:col>15</xdr:col>
      <xdr:colOff>266700</xdr:colOff>
      <xdr:row>8</xdr:row>
      <xdr:rowOff>142874</xdr:rowOff>
    </xdr:to>
    <xdr:sp macro="[0]!Enregistrer_et_quitter" textlink="">
      <xdr:nvSpPr>
        <xdr:cNvPr id="3" name="Rectangle à coins arrondis 2"/>
        <xdr:cNvSpPr/>
      </xdr:nvSpPr>
      <xdr:spPr>
        <a:xfrm>
          <a:off x="10563225" y="1247774"/>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twoCellAnchor>
    <xdr:from>
      <xdr:col>13</xdr:col>
      <xdr:colOff>647700</xdr:colOff>
      <xdr:row>2</xdr:row>
      <xdr:rowOff>171450</xdr:rowOff>
    </xdr:from>
    <xdr:to>
      <xdr:col>15</xdr:col>
      <xdr:colOff>257175</xdr:colOff>
      <xdr:row>5</xdr:row>
      <xdr:rowOff>19050</xdr:rowOff>
    </xdr:to>
    <xdr:sp macro="[0]!Enregistrer" textlink="">
      <xdr:nvSpPr>
        <xdr:cNvPr id="12" name="Rectangle à coins arrondis 11"/>
        <xdr:cNvSpPr/>
      </xdr:nvSpPr>
      <xdr:spPr>
        <a:xfrm>
          <a:off x="10553700" y="55245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editAs="oneCell">
    <xdr:from>
      <xdr:col>0</xdr:col>
      <xdr:colOff>0</xdr:colOff>
      <xdr:row>0</xdr:row>
      <xdr:rowOff>0</xdr:rowOff>
    </xdr:from>
    <xdr:to>
      <xdr:col>7</xdr:col>
      <xdr:colOff>116503</xdr:colOff>
      <xdr:row>5</xdr:row>
      <xdr:rowOff>95716</xdr:rowOff>
    </xdr:to>
    <xdr:pic>
      <xdr:nvPicPr>
        <xdr:cNvPr id="11" name="Image 1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9525</xdr:rowOff>
    </xdr:from>
    <xdr:to>
      <xdr:col>3</xdr:col>
      <xdr:colOff>1783378</xdr:colOff>
      <xdr:row>6</xdr:row>
      <xdr:rowOff>19516</xdr:rowOff>
    </xdr:to>
    <xdr:pic>
      <xdr:nvPicPr>
        <xdr:cNvPr id="3" name="Imag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5450503" cy="1152991"/>
        </a:xfrm>
        <a:prstGeom prst="rect">
          <a:avLst/>
        </a:prstGeom>
      </xdr:spPr>
    </xdr:pic>
    <xdr:clientData fPrintsWithSheet="0"/>
  </xdr:twoCellAnchor>
  <xdr:twoCellAnchor>
    <xdr:from>
      <xdr:col>1</xdr:col>
      <xdr:colOff>666750</xdr:colOff>
      <xdr:row>8</xdr:row>
      <xdr:rowOff>123826</xdr:rowOff>
    </xdr:from>
    <xdr:to>
      <xdr:col>2</xdr:col>
      <xdr:colOff>1285875</xdr:colOff>
      <xdr:row>10</xdr:row>
      <xdr:rowOff>209551</xdr:rowOff>
    </xdr:to>
    <xdr:sp macro="[0]!AjouterProduit" textlink="">
      <xdr:nvSpPr>
        <xdr:cNvPr id="4" name="Rectangle à coins arrondis 3"/>
        <xdr:cNvSpPr/>
      </xdr:nvSpPr>
      <xdr:spPr>
        <a:xfrm>
          <a:off x="1428750" y="1857376"/>
          <a:ext cx="2019300"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a:t>
          </a:r>
          <a:r>
            <a:rPr lang="fr-FR" sz="1100" baseline="0"/>
            <a:t> un produit</a:t>
          </a:r>
        </a:p>
      </xdr:txBody>
    </xdr:sp>
    <xdr:clientData/>
  </xdr:twoCellAnchor>
  <xdr:twoCellAnchor>
    <xdr:from>
      <xdr:col>3</xdr:col>
      <xdr:colOff>609599</xdr:colOff>
      <xdr:row>8</xdr:row>
      <xdr:rowOff>123826</xdr:rowOff>
    </xdr:from>
    <xdr:to>
      <xdr:col>4</xdr:col>
      <xdr:colOff>419099</xdr:colOff>
      <xdr:row>10</xdr:row>
      <xdr:rowOff>209551</xdr:rowOff>
    </xdr:to>
    <xdr:sp macro="[0]!ModifierProduit" textlink="">
      <xdr:nvSpPr>
        <xdr:cNvPr id="5" name="Rectangle à coins arrondis 4"/>
        <xdr:cNvSpPr/>
      </xdr:nvSpPr>
      <xdr:spPr>
        <a:xfrm>
          <a:off x="4276724" y="1857376"/>
          <a:ext cx="2105025"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aseline="0"/>
            <a:t>Modifier  un produit</a:t>
          </a:r>
        </a:p>
      </xdr:txBody>
    </xdr:sp>
    <xdr:clientData/>
  </xdr:twoCellAnchor>
  <xdr:twoCellAnchor>
    <xdr:from>
      <xdr:col>7</xdr:col>
      <xdr:colOff>323849</xdr:colOff>
      <xdr:row>2</xdr:row>
      <xdr:rowOff>38100</xdr:rowOff>
    </xdr:from>
    <xdr:to>
      <xdr:col>8</xdr:col>
      <xdr:colOff>685799</xdr:colOff>
      <xdr:row>4</xdr:row>
      <xdr:rowOff>180975</xdr:rowOff>
    </xdr:to>
    <xdr:sp macro="" textlink="">
      <xdr:nvSpPr>
        <xdr:cNvPr id="6" name="Rectangle à coins arrondis 5">
          <a:hlinkClick xmlns:r="http://schemas.openxmlformats.org/officeDocument/2006/relationships" r:id="rId2"/>
        </xdr:cNvPr>
        <xdr:cNvSpPr/>
      </xdr:nvSpPr>
      <xdr:spPr>
        <a:xfrm>
          <a:off x="9058274" y="4191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7</xdr:col>
      <xdr:colOff>323849</xdr:colOff>
      <xdr:row>5</xdr:row>
      <xdr:rowOff>142876</xdr:rowOff>
    </xdr:from>
    <xdr:to>
      <xdr:col>8</xdr:col>
      <xdr:colOff>685799</xdr:colOff>
      <xdr:row>7</xdr:row>
      <xdr:rowOff>114300</xdr:rowOff>
    </xdr:to>
    <xdr:sp macro="[0]!Enregistrer" textlink="">
      <xdr:nvSpPr>
        <xdr:cNvPr id="7" name="Rectangle à coins arrondis 6"/>
        <xdr:cNvSpPr/>
      </xdr:nvSpPr>
      <xdr:spPr>
        <a:xfrm>
          <a:off x="9058274" y="1095376"/>
          <a:ext cx="1133475" cy="457199"/>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7</xdr:col>
      <xdr:colOff>323849</xdr:colOff>
      <xdr:row>7</xdr:row>
      <xdr:rowOff>266700</xdr:rowOff>
    </xdr:from>
    <xdr:to>
      <xdr:col>8</xdr:col>
      <xdr:colOff>685799</xdr:colOff>
      <xdr:row>9</xdr:row>
      <xdr:rowOff>200025</xdr:rowOff>
    </xdr:to>
    <xdr:sp macro="[0]!Enregistrer_et_quitter" textlink="">
      <xdr:nvSpPr>
        <xdr:cNvPr id="8" name="Rectangle à coins arrondis 7"/>
        <xdr:cNvSpPr/>
      </xdr:nvSpPr>
      <xdr:spPr>
        <a:xfrm>
          <a:off x="9058274" y="1704975"/>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457201</xdr:colOff>
      <xdr:row>10</xdr:row>
      <xdr:rowOff>9525</xdr:rowOff>
    </xdr:from>
    <xdr:to>
      <xdr:col>3</xdr:col>
      <xdr:colOff>1545715</xdr:colOff>
      <xdr:row>13</xdr:row>
      <xdr:rowOff>114300</xdr:rowOff>
    </xdr:to>
    <xdr:sp macro="[0]!AjouterFournisseur" textlink="">
      <xdr:nvSpPr>
        <xdr:cNvPr id="2" name="Rectangle à coins arrondis 1"/>
        <xdr:cNvSpPr/>
      </xdr:nvSpPr>
      <xdr:spPr>
        <a:xfrm>
          <a:off x="1981201" y="2019300"/>
          <a:ext cx="1936239"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a:t>
          </a:r>
          <a:r>
            <a:rPr lang="fr-FR" sz="1100" baseline="0"/>
            <a:t> un fournisseur</a:t>
          </a:r>
        </a:p>
      </xdr:txBody>
    </xdr:sp>
    <xdr:clientData/>
  </xdr:twoCellAnchor>
  <xdr:twoCellAnchor>
    <xdr:from>
      <xdr:col>4</xdr:col>
      <xdr:colOff>209551</xdr:colOff>
      <xdr:row>10</xdr:row>
      <xdr:rowOff>9525</xdr:rowOff>
    </xdr:from>
    <xdr:to>
      <xdr:col>4</xdr:col>
      <xdr:colOff>2200275</xdr:colOff>
      <xdr:row>13</xdr:row>
      <xdr:rowOff>114300</xdr:rowOff>
    </xdr:to>
    <xdr:sp macro="[0]!ModifierFournisseur" textlink="">
      <xdr:nvSpPr>
        <xdr:cNvPr id="4" name="Rectangle à coins arrondis 3"/>
        <xdr:cNvSpPr/>
      </xdr:nvSpPr>
      <xdr:spPr>
        <a:xfrm>
          <a:off x="4305301" y="2019300"/>
          <a:ext cx="1990724"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aseline="0"/>
            <a:t>Modifier  un fournisseur</a:t>
          </a:r>
        </a:p>
      </xdr:txBody>
    </xdr:sp>
    <xdr:clientData/>
  </xdr:twoCellAnchor>
  <xdr:twoCellAnchor editAs="oneCell">
    <xdr:from>
      <xdr:col>0</xdr:col>
      <xdr:colOff>0</xdr:colOff>
      <xdr:row>0</xdr:row>
      <xdr:rowOff>0</xdr:rowOff>
    </xdr:from>
    <xdr:to>
      <xdr:col>4</xdr:col>
      <xdr:colOff>1354753</xdr:colOff>
      <xdr:row>6</xdr:row>
      <xdr:rowOff>9991</xdr:rowOff>
    </xdr:to>
    <xdr:pic>
      <xdr:nvPicPr>
        <xdr:cNvPr id="5" name="Imag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7</xdr:col>
      <xdr:colOff>142875</xdr:colOff>
      <xdr:row>2</xdr:row>
      <xdr:rowOff>123824</xdr:rowOff>
    </xdr:from>
    <xdr:to>
      <xdr:col>8</xdr:col>
      <xdr:colOff>504825</xdr:colOff>
      <xdr:row>5</xdr:row>
      <xdr:rowOff>76199</xdr:rowOff>
    </xdr:to>
    <xdr:sp macro="" textlink="">
      <xdr:nvSpPr>
        <xdr:cNvPr id="6" name="Rectangle à coins arrondis 5">
          <a:hlinkClick xmlns:r="http://schemas.openxmlformats.org/officeDocument/2006/relationships" r:id="rId2"/>
        </xdr:cNvPr>
        <xdr:cNvSpPr/>
      </xdr:nvSpPr>
      <xdr:spPr>
        <a:xfrm>
          <a:off x="10553700" y="504824"/>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7</xdr:col>
      <xdr:colOff>142875</xdr:colOff>
      <xdr:row>6</xdr:row>
      <xdr:rowOff>38100</xdr:rowOff>
    </xdr:from>
    <xdr:to>
      <xdr:col>8</xdr:col>
      <xdr:colOff>504825</xdr:colOff>
      <xdr:row>8</xdr:row>
      <xdr:rowOff>76200</xdr:rowOff>
    </xdr:to>
    <xdr:sp macro="[0]!Enregistrer" textlink="">
      <xdr:nvSpPr>
        <xdr:cNvPr id="7" name="Rectangle à coins arrondis 6"/>
        <xdr:cNvSpPr/>
      </xdr:nvSpPr>
      <xdr:spPr>
        <a:xfrm>
          <a:off x="10553700" y="11811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7</xdr:col>
      <xdr:colOff>142875</xdr:colOff>
      <xdr:row>9</xdr:row>
      <xdr:rowOff>57149</xdr:rowOff>
    </xdr:from>
    <xdr:to>
      <xdr:col>8</xdr:col>
      <xdr:colOff>504825</xdr:colOff>
      <xdr:row>12</xdr:row>
      <xdr:rowOff>9524</xdr:rowOff>
    </xdr:to>
    <xdr:sp macro="[0]!Enregistrer_et_quitter" textlink="">
      <xdr:nvSpPr>
        <xdr:cNvPr id="8" name="Rectangle à coins arrondis 7"/>
        <xdr:cNvSpPr/>
      </xdr:nvSpPr>
      <xdr:spPr>
        <a:xfrm>
          <a:off x="10553700" y="1876424"/>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392728</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8</xdr:col>
      <xdr:colOff>66675</xdr:colOff>
      <xdr:row>3</xdr:row>
      <xdr:rowOff>0</xdr:rowOff>
    </xdr:from>
    <xdr:to>
      <xdr:col>9</xdr:col>
      <xdr:colOff>428625</xdr:colOff>
      <xdr:row>5</xdr:row>
      <xdr:rowOff>142875</xdr:rowOff>
    </xdr:to>
    <xdr:sp macro="" textlink="">
      <xdr:nvSpPr>
        <xdr:cNvPr id="3" name="Rectangle à coins arrondis 2">
          <a:hlinkClick xmlns:r="http://schemas.openxmlformats.org/officeDocument/2006/relationships" r:id="rId2"/>
        </xdr:cNvPr>
        <xdr:cNvSpPr/>
      </xdr:nvSpPr>
      <xdr:spPr>
        <a:xfrm>
          <a:off x="9944100" y="5715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66675</xdr:colOff>
      <xdr:row>6</xdr:row>
      <xdr:rowOff>104776</xdr:rowOff>
    </xdr:from>
    <xdr:to>
      <xdr:col>9</xdr:col>
      <xdr:colOff>428625</xdr:colOff>
      <xdr:row>8</xdr:row>
      <xdr:rowOff>142876</xdr:rowOff>
    </xdr:to>
    <xdr:sp macro="[0]!Enregistrer" textlink="">
      <xdr:nvSpPr>
        <xdr:cNvPr id="4" name="Rectangle à coins arrondis 3"/>
        <xdr:cNvSpPr/>
      </xdr:nvSpPr>
      <xdr:spPr>
        <a:xfrm>
          <a:off x="9944100" y="1247776"/>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66675</xdr:colOff>
      <xdr:row>9</xdr:row>
      <xdr:rowOff>123825</xdr:rowOff>
    </xdr:from>
    <xdr:to>
      <xdr:col>9</xdr:col>
      <xdr:colOff>428625</xdr:colOff>
      <xdr:row>12</xdr:row>
      <xdr:rowOff>76200</xdr:rowOff>
    </xdr:to>
    <xdr:sp macro="[0]!Enregistrer_et_quitter" textlink="">
      <xdr:nvSpPr>
        <xdr:cNvPr id="5" name="Rectangle à coins arrondis 4"/>
        <xdr:cNvSpPr/>
      </xdr:nvSpPr>
      <xdr:spPr>
        <a:xfrm>
          <a:off x="9944100" y="19431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twoCellAnchor>
    <xdr:from>
      <xdr:col>1</xdr:col>
      <xdr:colOff>285750</xdr:colOff>
      <xdr:row>10</xdr:row>
      <xdr:rowOff>85725</xdr:rowOff>
    </xdr:from>
    <xdr:to>
      <xdr:col>2</xdr:col>
      <xdr:colOff>876300</xdr:colOff>
      <xdr:row>15</xdr:row>
      <xdr:rowOff>38100</xdr:rowOff>
    </xdr:to>
    <xdr:sp macro="" textlink="">
      <xdr:nvSpPr>
        <xdr:cNvPr id="9" name="Rectangle à coins arrondis 8">
          <a:hlinkClick xmlns:r="http://schemas.openxmlformats.org/officeDocument/2006/relationships" r:id="rId3"/>
        </xdr:cNvPr>
        <xdr:cNvSpPr/>
      </xdr:nvSpPr>
      <xdr:spPr>
        <a:xfrm>
          <a:off x="1047750" y="2095500"/>
          <a:ext cx="1895475" cy="9048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Journal</a:t>
          </a:r>
          <a:r>
            <a:rPr lang="fr-FR" sz="1100" baseline="0"/>
            <a:t> des achats</a:t>
          </a:r>
          <a:endParaRPr lang="fr-FR" sz="1100"/>
        </a:p>
      </xdr:txBody>
    </xdr:sp>
    <xdr:clientData/>
  </xdr:twoCellAnchor>
  <xdr:twoCellAnchor>
    <xdr:from>
      <xdr:col>2</xdr:col>
      <xdr:colOff>1743075</xdr:colOff>
      <xdr:row>10</xdr:row>
      <xdr:rowOff>76200</xdr:rowOff>
    </xdr:from>
    <xdr:to>
      <xdr:col>4</xdr:col>
      <xdr:colOff>619125</xdr:colOff>
      <xdr:row>15</xdr:row>
      <xdr:rowOff>47625</xdr:rowOff>
    </xdr:to>
    <xdr:sp macro="" textlink="">
      <xdr:nvSpPr>
        <xdr:cNvPr id="10" name="Rectangle à coins arrondis 9">
          <a:hlinkClick xmlns:r="http://schemas.openxmlformats.org/officeDocument/2006/relationships" r:id="rId4"/>
        </xdr:cNvPr>
        <xdr:cNvSpPr/>
      </xdr:nvSpPr>
      <xdr:spPr>
        <a:xfrm>
          <a:off x="3810000" y="2085975"/>
          <a:ext cx="1866900" cy="9239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Journal des ventes</a:t>
          </a:r>
        </a:p>
      </xdr:txBody>
    </xdr:sp>
    <xdr:clientData/>
  </xdr:twoCellAnchor>
  <xdr:twoCellAnchor>
    <xdr:from>
      <xdr:col>2</xdr:col>
      <xdr:colOff>361950</xdr:colOff>
      <xdr:row>17</xdr:row>
      <xdr:rowOff>19050</xdr:rowOff>
    </xdr:from>
    <xdr:to>
      <xdr:col>3</xdr:col>
      <xdr:colOff>47625</xdr:colOff>
      <xdr:row>21</xdr:row>
      <xdr:rowOff>152400</xdr:rowOff>
    </xdr:to>
    <xdr:sp macro="[0]!VueDesStocks" textlink="">
      <xdr:nvSpPr>
        <xdr:cNvPr id="11" name="Rectangle à coins arrondis 10"/>
        <xdr:cNvSpPr/>
      </xdr:nvSpPr>
      <xdr:spPr>
        <a:xfrm>
          <a:off x="2428875" y="3362325"/>
          <a:ext cx="1876425" cy="8953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Vue des stocks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0</xdr:row>
      <xdr:rowOff>142875</xdr:rowOff>
    </xdr:from>
    <xdr:to>
      <xdr:col>9</xdr:col>
      <xdr:colOff>1028700</xdr:colOff>
      <xdr:row>3</xdr:row>
      <xdr:rowOff>95250</xdr:rowOff>
    </xdr:to>
    <xdr:sp macro="" textlink="">
      <xdr:nvSpPr>
        <xdr:cNvPr id="3" name="Rectangle à coins arrondis 2">
          <a:hlinkClick xmlns:r="http://schemas.openxmlformats.org/officeDocument/2006/relationships" r:id="rId1"/>
        </xdr:cNvPr>
        <xdr:cNvSpPr/>
      </xdr:nvSpPr>
      <xdr:spPr>
        <a:xfrm>
          <a:off x="9925050" y="142875"/>
          <a:ext cx="1028700"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9</xdr:col>
      <xdr:colOff>0</xdr:colOff>
      <xdr:row>4</xdr:row>
      <xdr:rowOff>57151</xdr:rowOff>
    </xdr:from>
    <xdr:to>
      <xdr:col>9</xdr:col>
      <xdr:colOff>1076325</xdr:colOff>
      <xdr:row>7</xdr:row>
      <xdr:rowOff>9526</xdr:rowOff>
    </xdr:to>
    <xdr:sp macro="[0]!Enregistrer" textlink="">
      <xdr:nvSpPr>
        <xdr:cNvPr id="4" name="Rectangle à coins arrondis 3"/>
        <xdr:cNvSpPr/>
      </xdr:nvSpPr>
      <xdr:spPr>
        <a:xfrm>
          <a:off x="9925050" y="819151"/>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9</xdr:col>
      <xdr:colOff>0</xdr:colOff>
      <xdr:row>7</xdr:row>
      <xdr:rowOff>180975</xdr:rowOff>
    </xdr:from>
    <xdr:to>
      <xdr:col>9</xdr:col>
      <xdr:colOff>1104900</xdr:colOff>
      <xdr:row>10</xdr:row>
      <xdr:rowOff>133350</xdr:rowOff>
    </xdr:to>
    <xdr:sp macro="[0]!Enregistrer_et_quitter" textlink="">
      <xdr:nvSpPr>
        <xdr:cNvPr id="5" name="Rectangle à coins arrondis 4"/>
        <xdr:cNvSpPr/>
      </xdr:nvSpPr>
      <xdr:spPr>
        <a:xfrm>
          <a:off x="9925050" y="1514475"/>
          <a:ext cx="1104900" cy="6286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editAs="oneCell">
    <xdr:from>
      <xdr:col>0</xdr:col>
      <xdr:colOff>0</xdr:colOff>
      <xdr:row>0</xdr:row>
      <xdr:rowOff>0</xdr:rowOff>
    </xdr:from>
    <xdr:to>
      <xdr:col>4</xdr:col>
      <xdr:colOff>2421553</xdr:colOff>
      <xdr:row>6</xdr:row>
      <xdr:rowOff>9991</xdr:rowOff>
    </xdr:to>
    <xdr:pic>
      <xdr:nvPicPr>
        <xdr:cNvPr id="6" name="Imag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4</xdr:col>
      <xdr:colOff>2266950</xdr:colOff>
      <xdr:row>12</xdr:row>
      <xdr:rowOff>9525</xdr:rowOff>
    </xdr:from>
    <xdr:to>
      <xdr:col>6</xdr:col>
      <xdr:colOff>104775</xdr:colOff>
      <xdr:row>15</xdr:row>
      <xdr:rowOff>104774</xdr:rowOff>
    </xdr:to>
    <xdr:sp macro="" textlink="">
      <xdr:nvSpPr>
        <xdr:cNvPr id="7" name="Rectangle à coins arrondis 6">
          <a:hlinkClick xmlns:r="http://schemas.openxmlformats.org/officeDocument/2006/relationships" r:id="rId3"/>
        </xdr:cNvPr>
        <xdr:cNvSpPr/>
      </xdr:nvSpPr>
      <xdr:spPr>
        <a:xfrm>
          <a:off x="5295900" y="2400300"/>
          <a:ext cx="1628775" cy="6667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a:t>
          </a:r>
        </a:p>
        <a:p>
          <a:pPr algn="ctr"/>
          <a:r>
            <a:rPr lang="fr-FR" sz="1100"/>
            <a:t>Gestion des stocks</a:t>
          </a:r>
        </a:p>
      </xdr:txBody>
    </xdr:sp>
    <xdr:clientData/>
  </xdr:twoCellAnchor>
  <xdr:twoCellAnchor>
    <xdr:from>
      <xdr:col>1</xdr:col>
      <xdr:colOff>523876</xdr:colOff>
      <xdr:row>12</xdr:row>
      <xdr:rowOff>19051</xdr:rowOff>
    </xdr:from>
    <xdr:to>
      <xdr:col>3</xdr:col>
      <xdr:colOff>700405</xdr:colOff>
      <xdr:row>15</xdr:row>
      <xdr:rowOff>104775</xdr:rowOff>
    </xdr:to>
    <xdr:sp macro="[0]!AjouterStock" textlink="">
      <xdr:nvSpPr>
        <xdr:cNvPr id="8" name="Rectangle à coins arrondis 7"/>
        <xdr:cNvSpPr/>
      </xdr:nvSpPr>
      <xdr:spPr>
        <a:xfrm>
          <a:off x="1285876" y="2409826"/>
          <a:ext cx="1652904" cy="65722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 des produits</a:t>
          </a:r>
          <a:r>
            <a:rPr lang="fr-FR" sz="1100" baseline="0"/>
            <a:t> en stock</a:t>
          </a:r>
          <a:endParaRPr lang="fr-FR" sz="1100"/>
        </a:p>
      </xdr:txBody>
    </xdr:sp>
    <xdr:clientData/>
  </xdr:twoCellAnchor>
  <xdr:twoCellAnchor>
    <xdr:from>
      <xdr:col>4</xdr:col>
      <xdr:colOff>304801</xdr:colOff>
      <xdr:row>12</xdr:row>
      <xdr:rowOff>9525</xdr:rowOff>
    </xdr:from>
    <xdr:to>
      <xdr:col>4</xdr:col>
      <xdr:colOff>1818959</xdr:colOff>
      <xdr:row>15</xdr:row>
      <xdr:rowOff>105074</xdr:rowOff>
    </xdr:to>
    <xdr:sp macro="[0]!ModifierAchat" textlink="">
      <xdr:nvSpPr>
        <xdr:cNvPr id="9" name="Rectangle à coins arrondis 8"/>
        <xdr:cNvSpPr/>
      </xdr:nvSpPr>
      <xdr:spPr>
        <a:xfrm>
          <a:off x="3333751" y="2400300"/>
          <a:ext cx="1514158" cy="6670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Modifier un achat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552450</xdr:colOff>
      <xdr:row>1</xdr:row>
      <xdr:rowOff>38100</xdr:rowOff>
    </xdr:from>
    <xdr:to>
      <xdr:col>10</xdr:col>
      <xdr:colOff>904875</xdr:colOff>
      <xdr:row>3</xdr:row>
      <xdr:rowOff>180975</xdr:rowOff>
    </xdr:to>
    <xdr:sp macro="" textlink="">
      <xdr:nvSpPr>
        <xdr:cNvPr id="5" name="Rectangle à coins arrondis 4">
          <a:hlinkClick xmlns:r="http://schemas.openxmlformats.org/officeDocument/2006/relationships" r:id="rId1"/>
        </xdr:cNvPr>
        <xdr:cNvSpPr/>
      </xdr:nvSpPr>
      <xdr:spPr>
        <a:xfrm>
          <a:off x="9991725" y="228600"/>
          <a:ext cx="1028700"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9</xdr:col>
      <xdr:colOff>552450</xdr:colOff>
      <xdr:row>4</xdr:row>
      <xdr:rowOff>142876</xdr:rowOff>
    </xdr:from>
    <xdr:to>
      <xdr:col>10</xdr:col>
      <xdr:colOff>933450</xdr:colOff>
      <xdr:row>7</xdr:row>
      <xdr:rowOff>95251</xdr:rowOff>
    </xdr:to>
    <xdr:sp macro="[0]!Enregistrer" textlink="">
      <xdr:nvSpPr>
        <xdr:cNvPr id="6" name="Rectangle à coins arrondis 5"/>
        <xdr:cNvSpPr/>
      </xdr:nvSpPr>
      <xdr:spPr>
        <a:xfrm>
          <a:off x="9991725" y="904876"/>
          <a:ext cx="10572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9</xdr:col>
      <xdr:colOff>552450</xdr:colOff>
      <xdr:row>7</xdr:row>
      <xdr:rowOff>247650</xdr:rowOff>
    </xdr:from>
    <xdr:to>
      <xdr:col>11</xdr:col>
      <xdr:colOff>0</xdr:colOff>
      <xdr:row>10</xdr:row>
      <xdr:rowOff>95250</xdr:rowOff>
    </xdr:to>
    <xdr:sp macro="[0]!Enregistrer_et_quitter" textlink="">
      <xdr:nvSpPr>
        <xdr:cNvPr id="7" name="Rectangle à coins arrondis 6"/>
        <xdr:cNvSpPr/>
      </xdr:nvSpPr>
      <xdr:spPr>
        <a:xfrm>
          <a:off x="9991725" y="1581150"/>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editAs="oneCell">
    <xdr:from>
      <xdr:col>0</xdr:col>
      <xdr:colOff>0</xdr:colOff>
      <xdr:row>0</xdr:row>
      <xdr:rowOff>0</xdr:rowOff>
    </xdr:from>
    <xdr:to>
      <xdr:col>5</xdr:col>
      <xdr:colOff>1078528</xdr:colOff>
      <xdr:row>6</xdr:row>
      <xdr:rowOff>9991</xdr:rowOff>
    </xdr:to>
    <xdr:pic>
      <xdr:nvPicPr>
        <xdr:cNvPr id="8" name="Image 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3</xdr:col>
      <xdr:colOff>238125</xdr:colOff>
      <xdr:row>10</xdr:row>
      <xdr:rowOff>0</xdr:rowOff>
    </xdr:from>
    <xdr:to>
      <xdr:col>5</xdr:col>
      <xdr:colOff>285750</xdr:colOff>
      <xdr:row>13</xdr:row>
      <xdr:rowOff>76200</xdr:rowOff>
    </xdr:to>
    <xdr:sp macro="[0]!ModifierVente" textlink="">
      <xdr:nvSpPr>
        <xdr:cNvPr id="10" name="Rectangle à coins arrondis 9"/>
        <xdr:cNvSpPr/>
      </xdr:nvSpPr>
      <xdr:spPr>
        <a:xfrm>
          <a:off x="3057525" y="2009775"/>
          <a:ext cx="1600200" cy="647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Modifier une vente</a:t>
          </a:r>
        </a:p>
      </xdr:txBody>
    </xdr:sp>
    <xdr:clientData/>
  </xdr:twoCellAnchor>
  <xdr:twoCellAnchor>
    <xdr:from>
      <xdr:col>1</xdr:col>
      <xdr:colOff>419100</xdr:colOff>
      <xdr:row>10</xdr:row>
      <xdr:rowOff>0</xdr:rowOff>
    </xdr:from>
    <xdr:to>
      <xdr:col>3</xdr:col>
      <xdr:colOff>9525</xdr:colOff>
      <xdr:row>13</xdr:row>
      <xdr:rowOff>76200</xdr:rowOff>
    </xdr:to>
    <xdr:sp macro="[0]!AjouterVente" textlink="">
      <xdr:nvSpPr>
        <xdr:cNvPr id="3" name="Rectangle à coins arrondis 2"/>
        <xdr:cNvSpPr/>
      </xdr:nvSpPr>
      <xdr:spPr>
        <a:xfrm>
          <a:off x="1181100" y="2009775"/>
          <a:ext cx="1647825" cy="647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 une</a:t>
          </a:r>
          <a:r>
            <a:rPr lang="fr-FR" sz="1100" baseline="0"/>
            <a:t> vente</a:t>
          </a:r>
          <a:endParaRPr lang="fr-FR" sz="1100"/>
        </a:p>
      </xdr:txBody>
    </xdr:sp>
    <xdr:clientData/>
  </xdr:twoCellAnchor>
  <xdr:twoCellAnchor>
    <xdr:from>
      <xdr:col>5</xdr:col>
      <xdr:colOff>514350</xdr:colOff>
      <xdr:row>10</xdr:row>
      <xdr:rowOff>0</xdr:rowOff>
    </xdr:from>
    <xdr:to>
      <xdr:col>5</xdr:col>
      <xdr:colOff>2143125</xdr:colOff>
      <xdr:row>13</xdr:row>
      <xdr:rowOff>85725</xdr:rowOff>
    </xdr:to>
    <xdr:sp macro="" textlink="">
      <xdr:nvSpPr>
        <xdr:cNvPr id="11" name="Rectangle à coins arrondis 10">
          <a:hlinkClick xmlns:r="http://schemas.openxmlformats.org/officeDocument/2006/relationships" r:id="rId3"/>
        </xdr:cNvPr>
        <xdr:cNvSpPr/>
      </xdr:nvSpPr>
      <xdr:spPr>
        <a:xfrm>
          <a:off x="4886325" y="2009775"/>
          <a:ext cx="1628775" cy="657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a:t>
          </a:r>
        </a:p>
        <a:p>
          <a:pPr algn="ctr"/>
          <a:r>
            <a:rPr lang="fr-FR" sz="1100"/>
            <a:t>Gestion des stocks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638174</xdr:colOff>
      <xdr:row>1</xdr:row>
      <xdr:rowOff>133350</xdr:rowOff>
    </xdr:from>
    <xdr:to>
      <xdr:col>9</xdr:col>
      <xdr:colOff>638174</xdr:colOff>
      <xdr:row>4</xdr:row>
      <xdr:rowOff>76200</xdr:rowOff>
    </xdr:to>
    <xdr:sp macro="" textlink="">
      <xdr:nvSpPr>
        <xdr:cNvPr id="2" name="Rectangle à coins arrondis 1">
          <a:hlinkClick xmlns:r="http://schemas.openxmlformats.org/officeDocument/2006/relationships" r:id="rId1"/>
        </xdr:cNvPr>
        <xdr:cNvSpPr/>
      </xdr:nvSpPr>
      <xdr:spPr>
        <a:xfrm>
          <a:off x="9658349" y="323850"/>
          <a:ext cx="1028700" cy="5143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638175</xdr:colOff>
      <xdr:row>5</xdr:row>
      <xdr:rowOff>47626</xdr:rowOff>
    </xdr:from>
    <xdr:to>
      <xdr:col>9</xdr:col>
      <xdr:colOff>666750</xdr:colOff>
      <xdr:row>7</xdr:row>
      <xdr:rowOff>190501</xdr:rowOff>
    </xdr:to>
    <xdr:sp macro="[0]!Enregistrer" textlink="">
      <xdr:nvSpPr>
        <xdr:cNvPr id="3" name="Rectangle à coins arrondis 2"/>
        <xdr:cNvSpPr/>
      </xdr:nvSpPr>
      <xdr:spPr>
        <a:xfrm>
          <a:off x="9658350" y="1000126"/>
          <a:ext cx="10572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638174</xdr:colOff>
      <xdr:row>8</xdr:row>
      <xdr:rowOff>66675</xdr:rowOff>
    </xdr:from>
    <xdr:to>
      <xdr:col>9</xdr:col>
      <xdr:colOff>685800</xdr:colOff>
      <xdr:row>10</xdr:row>
      <xdr:rowOff>171450</xdr:rowOff>
    </xdr:to>
    <xdr:sp macro="[0]!Enregistrer_et_quitter" textlink="">
      <xdr:nvSpPr>
        <xdr:cNvPr id="4" name="Rectangle à coins arrondis 3"/>
        <xdr:cNvSpPr/>
      </xdr:nvSpPr>
      <xdr:spPr>
        <a:xfrm>
          <a:off x="9658349" y="1695450"/>
          <a:ext cx="1076326" cy="4857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editAs="oneCell">
    <xdr:from>
      <xdr:col>0</xdr:col>
      <xdr:colOff>0</xdr:colOff>
      <xdr:row>0</xdr:row>
      <xdr:rowOff>0</xdr:rowOff>
    </xdr:from>
    <xdr:to>
      <xdr:col>4</xdr:col>
      <xdr:colOff>392728</xdr:colOff>
      <xdr:row>6</xdr:row>
      <xdr:rowOff>9991</xdr:rowOff>
    </xdr:to>
    <xdr:pic>
      <xdr:nvPicPr>
        <xdr:cNvPr id="5" name="Image 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3</xdr:col>
      <xdr:colOff>742950</xdr:colOff>
      <xdr:row>9</xdr:row>
      <xdr:rowOff>114300</xdr:rowOff>
    </xdr:from>
    <xdr:to>
      <xdr:col>3</xdr:col>
      <xdr:colOff>2114549</xdr:colOff>
      <xdr:row>13</xdr:row>
      <xdr:rowOff>28575</xdr:rowOff>
    </xdr:to>
    <xdr:sp macro="" textlink="">
      <xdr:nvSpPr>
        <xdr:cNvPr id="6" name="Rectangle à coins arrondis 5">
          <a:hlinkClick xmlns:r="http://schemas.openxmlformats.org/officeDocument/2006/relationships" r:id="rId3"/>
        </xdr:cNvPr>
        <xdr:cNvSpPr/>
      </xdr:nvSpPr>
      <xdr:spPr>
        <a:xfrm>
          <a:off x="3267075" y="1933575"/>
          <a:ext cx="1371599"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a:t>
          </a:r>
        </a:p>
        <a:p>
          <a:pPr algn="ctr"/>
          <a:r>
            <a:rPr lang="fr-FR" sz="1100"/>
            <a:t>Gestion des stocks</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792778</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8</xdr:col>
      <xdr:colOff>790575</xdr:colOff>
      <xdr:row>2</xdr:row>
      <xdr:rowOff>9525</xdr:rowOff>
    </xdr:from>
    <xdr:to>
      <xdr:col>9</xdr:col>
      <xdr:colOff>942975</xdr:colOff>
      <xdr:row>4</xdr:row>
      <xdr:rowOff>152400</xdr:rowOff>
    </xdr:to>
    <xdr:sp macro="" textlink="">
      <xdr:nvSpPr>
        <xdr:cNvPr id="3" name="Rectangle à coins arrondis 2">
          <a:hlinkClick xmlns:r="http://schemas.openxmlformats.org/officeDocument/2006/relationships" r:id="rId2"/>
        </xdr:cNvPr>
        <xdr:cNvSpPr/>
      </xdr:nvSpPr>
      <xdr:spPr>
        <a:xfrm>
          <a:off x="9553575" y="390525"/>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790575</xdr:colOff>
      <xdr:row>5</xdr:row>
      <xdr:rowOff>114301</xdr:rowOff>
    </xdr:from>
    <xdr:to>
      <xdr:col>9</xdr:col>
      <xdr:colOff>942975</xdr:colOff>
      <xdr:row>7</xdr:row>
      <xdr:rowOff>257176</xdr:rowOff>
    </xdr:to>
    <xdr:sp macro="[0]!Enregistrer" textlink="">
      <xdr:nvSpPr>
        <xdr:cNvPr id="4" name="Rectangle à coins arrondis 3"/>
        <xdr:cNvSpPr/>
      </xdr:nvSpPr>
      <xdr:spPr>
        <a:xfrm>
          <a:off x="9553575" y="1066801"/>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790575</xdr:colOff>
      <xdr:row>8</xdr:row>
      <xdr:rowOff>133350</xdr:rowOff>
    </xdr:from>
    <xdr:to>
      <xdr:col>9</xdr:col>
      <xdr:colOff>942975</xdr:colOff>
      <xdr:row>11</xdr:row>
      <xdr:rowOff>133350</xdr:rowOff>
    </xdr:to>
    <xdr:sp macro="[0]!Enregistrer_et_quitter" textlink="">
      <xdr:nvSpPr>
        <xdr:cNvPr id="5" name="Rectangle à coins arrondis 4"/>
        <xdr:cNvSpPr/>
      </xdr:nvSpPr>
      <xdr:spPr>
        <a:xfrm>
          <a:off x="9667875" y="1762125"/>
          <a:ext cx="1076325" cy="57150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xdr:from>
      <xdr:col>1</xdr:col>
      <xdr:colOff>19050</xdr:colOff>
      <xdr:row>27</xdr:row>
      <xdr:rowOff>38101</xdr:rowOff>
    </xdr:from>
    <xdr:to>
      <xdr:col>5</xdr:col>
      <xdr:colOff>35719</xdr:colOff>
      <xdr:row>45</xdr:row>
      <xdr:rowOff>166687</xdr:rowOff>
    </xdr:to>
    <xdr:graphicFrame macro="">
      <xdr:nvGraphicFramePr>
        <xdr:cNvPr id="6" name="VueEnsembleBudget" descr="Graphique en barres affichant les revenus et les dépenses en fonction du coût estimé par rapport au coût réel" title="Vue d’ensemble du budge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590550</xdr:colOff>
      <xdr:row>7</xdr:row>
      <xdr:rowOff>228600</xdr:rowOff>
    </xdr:from>
    <xdr:to>
      <xdr:col>1</xdr:col>
      <xdr:colOff>2028825</xdr:colOff>
      <xdr:row>10</xdr:row>
      <xdr:rowOff>57150</xdr:rowOff>
    </xdr:to>
    <xdr:sp macro="[0]!AjouterUnPoste" textlink="">
      <xdr:nvSpPr>
        <xdr:cNvPr id="7" name="Rectangle à coins arrondis 6"/>
        <xdr:cNvSpPr/>
      </xdr:nvSpPr>
      <xdr:spPr>
        <a:xfrm>
          <a:off x="914400" y="1562100"/>
          <a:ext cx="1438275" cy="5048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 un poste</a:t>
          </a:r>
        </a:p>
      </xdr:txBody>
    </xdr:sp>
    <xdr:clientData/>
  </xdr:twoCellAnchor>
  <xdr:twoCellAnchor>
    <xdr:from>
      <xdr:col>2</xdr:col>
      <xdr:colOff>457200</xdr:colOff>
      <xdr:row>7</xdr:row>
      <xdr:rowOff>238125</xdr:rowOff>
    </xdr:from>
    <xdr:to>
      <xdr:col>3</xdr:col>
      <xdr:colOff>866775</xdr:colOff>
      <xdr:row>10</xdr:row>
      <xdr:rowOff>66675</xdr:rowOff>
    </xdr:to>
    <xdr:sp macro="[0]!ModifierUnPoste" textlink="">
      <xdr:nvSpPr>
        <xdr:cNvPr id="9" name="Rectangle à coins arrondis 8"/>
        <xdr:cNvSpPr/>
      </xdr:nvSpPr>
      <xdr:spPr>
        <a:xfrm>
          <a:off x="3057525" y="1571625"/>
          <a:ext cx="1438275" cy="5048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Modifier un poste</a:t>
          </a:r>
        </a:p>
      </xdr:txBody>
    </xdr:sp>
    <xdr:clientData/>
  </xdr:twoCellAnchor>
  <xdr:twoCellAnchor>
    <xdr:from>
      <xdr:col>5</xdr:col>
      <xdr:colOff>142875</xdr:colOff>
      <xdr:row>7</xdr:row>
      <xdr:rowOff>142875</xdr:rowOff>
    </xdr:from>
    <xdr:to>
      <xdr:col>7</xdr:col>
      <xdr:colOff>542925</xdr:colOff>
      <xdr:row>11</xdr:row>
      <xdr:rowOff>19050</xdr:rowOff>
    </xdr:to>
    <xdr:sp macro="[0]!EnregistrerBudgetMois" textlink="">
      <xdr:nvSpPr>
        <xdr:cNvPr id="8" name="Flèche droite 7"/>
        <xdr:cNvSpPr/>
      </xdr:nvSpPr>
      <xdr:spPr>
        <a:xfrm>
          <a:off x="5829300" y="1581150"/>
          <a:ext cx="2743200" cy="638175"/>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fr-FR" sz="1400" b="1"/>
            <a:t>Enregistrer</a:t>
          </a:r>
          <a:r>
            <a:rPr lang="fr-FR" sz="1400" b="1" baseline="0"/>
            <a:t> le budget du mois</a:t>
          </a:r>
          <a:endParaRPr lang="fr-FR" sz="1400" b="1"/>
        </a:p>
      </xdr:txBody>
    </xdr:sp>
    <xdr:clientData/>
  </xdr:twoCellAnchor>
  <xdr:twoCellAnchor editAs="oneCell">
    <xdr:from>
      <xdr:col>5</xdr:col>
      <xdr:colOff>238124</xdr:colOff>
      <xdr:row>14</xdr:row>
      <xdr:rowOff>123826</xdr:rowOff>
    </xdr:from>
    <xdr:to>
      <xdr:col>9</xdr:col>
      <xdr:colOff>1981200</xdr:colOff>
      <xdr:row>19</xdr:row>
      <xdr:rowOff>123825</xdr:rowOff>
    </xdr:to>
    <mc:AlternateContent xmlns:mc="http://schemas.openxmlformats.org/markup-compatibility/2006" xmlns:a14="http://schemas.microsoft.com/office/drawing/2010/main">
      <mc:Choice Requires="a14">
        <xdr:graphicFrame macro="">
          <xdr:nvGraphicFramePr>
            <xdr:cNvPr id="10" name="Mois 1"/>
            <xdr:cNvGraphicFramePr/>
          </xdr:nvGraphicFramePr>
          <xdr:xfrm>
            <a:off x="0" y="0"/>
            <a:ext cx="0" cy="0"/>
          </xdr:xfrm>
          <a:graphic>
            <a:graphicData uri="http://schemas.microsoft.com/office/drawing/2010/slicer">
              <sle:slicer xmlns:sle="http://schemas.microsoft.com/office/drawing/2010/slicer" name="Mois 1"/>
            </a:graphicData>
          </a:graphic>
        </xdr:graphicFrame>
      </mc:Choice>
      <mc:Fallback xmlns="">
        <xdr:sp macro="" textlink="">
          <xdr:nvSpPr>
            <xdr:cNvPr id="0" name=""/>
            <xdr:cNvSpPr>
              <a:spLocks noTextEdit="1"/>
            </xdr:cNvSpPr>
          </xdr:nvSpPr>
          <xdr:spPr>
            <a:xfrm>
              <a:off x="5924549" y="2895601"/>
              <a:ext cx="5762626" cy="952499"/>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editAs="oneCell">
    <xdr:from>
      <xdr:col>0</xdr:col>
      <xdr:colOff>314324</xdr:colOff>
      <xdr:row>14</xdr:row>
      <xdr:rowOff>123826</xdr:rowOff>
    </xdr:from>
    <xdr:to>
      <xdr:col>5</xdr:col>
      <xdr:colOff>257175</xdr:colOff>
      <xdr:row>19</xdr:row>
      <xdr:rowOff>123825</xdr:rowOff>
    </xdr:to>
    <mc:AlternateContent xmlns:mc="http://schemas.openxmlformats.org/markup-compatibility/2006" xmlns:a14="http://schemas.microsoft.com/office/drawing/2010/main">
      <mc:Choice Requires="a14">
        <xdr:graphicFrame macro="">
          <xdr:nvGraphicFramePr>
            <xdr:cNvPr id="11" name="Année 1"/>
            <xdr:cNvGraphicFramePr/>
          </xdr:nvGraphicFramePr>
          <xdr:xfrm>
            <a:off x="0" y="0"/>
            <a:ext cx="0" cy="0"/>
          </xdr:xfrm>
          <a:graphic>
            <a:graphicData uri="http://schemas.microsoft.com/office/drawing/2010/slicer">
              <sle:slicer xmlns:sle="http://schemas.microsoft.com/office/drawing/2010/slicer" name="Année 1"/>
            </a:graphicData>
          </a:graphic>
        </xdr:graphicFrame>
      </mc:Choice>
      <mc:Fallback xmlns="">
        <xdr:sp macro="" textlink="">
          <xdr:nvSpPr>
            <xdr:cNvPr id="0" name=""/>
            <xdr:cNvSpPr>
              <a:spLocks noTextEdit="1"/>
            </xdr:cNvSpPr>
          </xdr:nvSpPr>
          <xdr:spPr>
            <a:xfrm>
              <a:off x="314324" y="2895601"/>
              <a:ext cx="5629276" cy="952499"/>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xdr:from>
      <xdr:col>5</xdr:col>
      <xdr:colOff>95250</xdr:colOff>
      <xdr:row>10</xdr:row>
      <xdr:rowOff>114300</xdr:rowOff>
    </xdr:from>
    <xdr:to>
      <xdr:col>7</xdr:col>
      <xdr:colOff>466725</xdr:colOff>
      <xdr:row>13</xdr:row>
      <xdr:rowOff>85725</xdr:rowOff>
    </xdr:to>
    <xdr:sp macro="[0]!ReinitialiserBudget" textlink="">
      <xdr:nvSpPr>
        <xdr:cNvPr id="12" name="Flèche gauche 11"/>
        <xdr:cNvSpPr/>
      </xdr:nvSpPr>
      <xdr:spPr>
        <a:xfrm>
          <a:off x="5781675" y="2124075"/>
          <a:ext cx="2714625" cy="542925"/>
        </a:xfrm>
        <a:prstGeom prst="lef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fr-FR" sz="1400" b="1"/>
            <a:t>Réinitialiser</a:t>
          </a:r>
          <a:r>
            <a:rPr lang="fr-FR" sz="1400" b="1" baseline="0"/>
            <a:t> les postes</a:t>
          </a:r>
          <a:endParaRPr lang="fr-FR" sz="1400" b="1"/>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402253</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7</xdr:col>
      <xdr:colOff>495300</xdr:colOff>
      <xdr:row>2</xdr:row>
      <xdr:rowOff>57150</xdr:rowOff>
    </xdr:from>
    <xdr:to>
      <xdr:col>8</xdr:col>
      <xdr:colOff>619125</xdr:colOff>
      <xdr:row>5</xdr:row>
      <xdr:rowOff>9525</xdr:rowOff>
    </xdr:to>
    <xdr:sp macro="" textlink="">
      <xdr:nvSpPr>
        <xdr:cNvPr id="3" name="Rectangle à coins arrondis 2">
          <a:hlinkClick xmlns:r="http://schemas.openxmlformats.org/officeDocument/2006/relationships" r:id="rId2"/>
        </xdr:cNvPr>
        <xdr:cNvSpPr/>
      </xdr:nvSpPr>
      <xdr:spPr>
        <a:xfrm>
          <a:off x="9753600" y="43815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7</xdr:col>
      <xdr:colOff>495300</xdr:colOff>
      <xdr:row>5</xdr:row>
      <xdr:rowOff>161926</xdr:rowOff>
    </xdr:from>
    <xdr:to>
      <xdr:col>8</xdr:col>
      <xdr:colOff>619125</xdr:colOff>
      <xdr:row>8</xdr:row>
      <xdr:rowOff>114301</xdr:rowOff>
    </xdr:to>
    <xdr:sp macro="[0]!Enregistrer" textlink="">
      <xdr:nvSpPr>
        <xdr:cNvPr id="4" name="Rectangle à coins arrondis 3"/>
        <xdr:cNvSpPr/>
      </xdr:nvSpPr>
      <xdr:spPr>
        <a:xfrm>
          <a:off x="9753600" y="1114426"/>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7</xdr:col>
      <xdr:colOff>504825</xdr:colOff>
      <xdr:row>8</xdr:row>
      <xdr:rowOff>238125</xdr:rowOff>
    </xdr:from>
    <xdr:to>
      <xdr:col>8</xdr:col>
      <xdr:colOff>628650</xdr:colOff>
      <xdr:row>11</xdr:row>
      <xdr:rowOff>114300</xdr:rowOff>
    </xdr:to>
    <xdr:sp macro="[0]!Enregistrer_et_quitter" textlink="">
      <xdr:nvSpPr>
        <xdr:cNvPr id="5" name="Rectangle à coins arrondis 4"/>
        <xdr:cNvSpPr/>
      </xdr:nvSpPr>
      <xdr:spPr>
        <a:xfrm>
          <a:off x="9763125" y="1762125"/>
          <a:ext cx="1133475" cy="5524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mc:AlternateContent xmlns:mc="http://schemas.openxmlformats.org/markup-compatibility/2006">
    <mc:Choice xmlns:a14="http://schemas.microsoft.com/office/drawing/2010/main" Requires="a14">
      <xdr:twoCellAnchor editAs="oneCell">
        <xdr:from>
          <xdr:col>1</xdr:col>
          <xdr:colOff>47625</xdr:colOff>
          <xdr:row>13</xdr:row>
          <xdr:rowOff>85725</xdr:rowOff>
        </xdr:from>
        <xdr:to>
          <xdr:col>5</xdr:col>
          <xdr:colOff>114300</xdr:colOff>
          <xdr:row>15</xdr:row>
          <xdr:rowOff>76200</xdr:rowOff>
        </xdr:to>
        <xdr:sp macro="" textlink="">
          <xdr:nvSpPr>
            <xdr:cNvPr id="11265" name="Scroll Bar 1" hidden="1">
              <a:extLst>
                <a:ext uri="{63B3BB69-23CF-44E3-9099-C40C66FF867C}">
                  <a14:compatExt spid="_x0000_s11265"/>
                </a:ext>
              </a:extLst>
            </xdr:cNvPr>
            <xdr:cNvSpPr/>
          </xdr:nvSpPr>
          <xdr:spPr>
            <a:xfrm>
              <a:off x="0" y="0"/>
              <a:ext cx="0" cy="0"/>
            </a:xfrm>
            <a:prstGeom prst="rect">
              <a:avLst/>
            </a:prstGeom>
          </xdr:spPr>
        </xdr:sp>
        <xdr:clientData/>
      </xdr:twoCellAnchor>
    </mc:Choice>
    <mc:Fallback/>
  </mc:AlternateContent>
  <xdr:twoCellAnchor editAs="oneCell">
    <xdr:from>
      <xdr:col>1</xdr:col>
      <xdr:colOff>123827</xdr:colOff>
      <xdr:row>8</xdr:row>
      <xdr:rowOff>47624</xdr:rowOff>
    </xdr:from>
    <xdr:to>
      <xdr:col>1</xdr:col>
      <xdr:colOff>804811</xdr:colOff>
      <xdr:row>12</xdr:row>
      <xdr:rowOff>142874</xdr:rowOff>
    </xdr:to>
    <xdr:pic>
      <xdr:nvPicPr>
        <xdr:cNvPr id="6" name="Image 5"/>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33477" y="1190624"/>
          <a:ext cx="680984" cy="962025"/>
        </a:xfrm>
        <a:prstGeom prst="rect">
          <a:avLst/>
        </a:prstGeom>
      </xdr:spPr>
    </xdr:pic>
    <xdr:clientData/>
  </xdr:twoCellAnchor>
  <xdr:twoCellAnchor editAs="oneCell">
    <xdr:from>
      <xdr:col>4</xdr:col>
      <xdr:colOff>466725</xdr:colOff>
      <xdr:row>9</xdr:row>
      <xdr:rowOff>9525</xdr:rowOff>
    </xdr:from>
    <xdr:to>
      <xdr:col>5</xdr:col>
      <xdr:colOff>161924</xdr:colOff>
      <xdr:row>12</xdr:row>
      <xdr:rowOff>142874</xdr:rowOff>
    </xdr:to>
    <xdr:pic>
      <xdr:nvPicPr>
        <xdr:cNvPr id="7" name="Image 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505325" y="1447800"/>
          <a:ext cx="704849" cy="704849"/>
        </a:xfrm>
        <a:prstGeom prst="rect">
          <a:avLst/>
        </a:prstGeom>
      </xdr:spPr>
    </xdr:pic>
    <xdr:clientData/>
  </xdr:twoCellAnchor>
  <xdr:twoCellAnchor>
    <xdr:from>
      <xdr:col>0</xdr:col>
      <xdr:colOff>638175</xdr:colOff>
      <xdr:row>13</xdr:row>
      <xdr:rowOff>66675</xdr:rowOff>
    </xdr:from>
    <xdr:to>
      <xdr:col>0</xdr:col>
      <xdr:colOff>904875</xdr:colOff>
      <xdr:row>15</xdr:row>
      <xdr:rowOff>104775</xdr:rowOff>
    </xdr:to>
    <xdr:sp macro="" textlink="">
      <xdr:nvSpPr>
        <xdr:cNvPr id="8" name="ZoneTexte 7"/>
        <xdr:cNvSpPr txBox="1"/>
      </xdr:nvSpPr>
      <xdr:spPr>
        <a:xfrm>
          <a:off x="638175" y="2647950"/>
          <a:ext cx="266700" cy="419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fr-FR" sz="1100"/>
            <a:t>1</a:t>
          </a:r>
        </a:p>
      </xdr:txBody>
    </xdr:sp>
    <xdr:clientData/>
  </xdr:twoCellAnchor>
  <xdr:twoCellAnchor>
    <xdr:from>
      <xdr:col>5</xdr:col>
      <xdr:colOff>180975</xdr:colOff>
      <xdr:row>13</xdr:row>
      <xdr:rowOff>85726</xdr:rowOff>
    </xdr:from>
    <xdr:to>
      <xdr:col>5</xdr:col>
      <xdr:colOff>447675</xdr:colOff>
      <xdr:row>15</xdr:row>
      <xdr:rowOff>104776</xdr:rowOff>
    </xdr:to>
    <xdr:sp macro="" textlink="">
      <xdr:nvSpPr>
        <xdr:cNvPr id="10" name="ZoneTexte 9"/>
        <xdr:cNvSpPr txBox="1"/>
      </xdr:nvSpPr>
      <xdr:spPr>
        <a:xfrm>
          <a:off x="5229225" y="2667001"/>
          <a:ext cx="266700" cy="4000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fr-FR" sz="1100"/>
            <a:t>5</a:t>
          </a:r>
        </a:p>
      </xdr:txBody>
    </xdr:sp>
    <xdr:clientData/>
  </xdr:twoCellAnchor>
  <xdr:twoCellAnchor>
    <xdr:from>
      <xdr:col>5</xdr:col>
      <xdr:colOff>1390650</xdr:colOff>
      <xdr:row>2</xdr:row>
      <xdr:rowOff>47624</xdr:rowOff>
    </xdr:from>
    <xdr:to>
      <xdr:col>6</xdr:col>
      <xdr:colOff>533400</xdr:colOff>
      <xdr:row>5</xdr:row>
      <xdr:rowOff>171449</xdr:rowOff>
    </xdr:to>
    <xdr:sp macro="[0]!ValiderJournée" textlink="">
      <xdr:nvSpPr>
        <xdr:cNvPr id="9" name="Rectangle à coins arrondis 8"/>
        <xdr:cNvSpPr/>
      </xdr:nvSpPr>
      <xdr:spPr>
        <a:xfrm>
          <a:off x="6438900" y="428624"/>
          <a:ext cx="2219325" cy="6953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Valider</a:t>
          </a:r>
          <a:r>
            <a:rPr lang="fr-FR" sz="1100" baseline="0"/>
            <a:t> la journée</a:t>
          </a:r>
          <a:endParaRPr lang="fr-FR" sz="1100"/>
        </a:p>
      </xdr:txBody>
    </xdr:sp>
    <xdr:clientData/>
  </xdr:twoCellAnchor>
  <xdr:twoCellAnchor>
    <xdr:from>
      <xdr:col>7</xdr:col>
      <xdr:colOff>514350</xdr:colOff>
      <xdr:row>12</xdr:row>
      <xdr:rowOff>47624</xdr:rowOff>
    </xdr:from>
    <xdr:to>
      <xdr:col>8</xdr:col>
      <xdr:colOff>638175</xdr:colOff>
      <xdr:row>15</xdr:row>
      <xdr:rowOff>57149</xdr:rowOff>
    </xdr:to>
    <xdr:sp macro="" textlink="">
      <xdr:nvSpPr>
        <xdr:cNvPr id="11" name="Rectangle à coins arrondis 10">
          <a:hlinkClick xmlns:r="http://schemas.openxmlformats.org/officeDocument/2006/relationships" r:id="rId5"/>
        </xdr:cNvPr>
        <xdr:cNvSpPr/>
      </xdr:nvSpPr>
      <xdr:spPr>
        <a:xfrm>
          <a:off x="9772650" y="2438399"/>
          <a:ext cx="1133475" cy="5810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Historique</a:t>
          </a:r>
          <a:r>
            <a:rPr lang="fr-FR" sz="1100" baseline="0"/>
            <a:t> journée</a:t>
          </a:r>
          <a:endParaRPr lang="fr-FR"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830878</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8</xdr:col>
      <xdr:colOff>1447800</xdr:colOff>
      <xdr:row>0</xdr:row>
      <xdr:rowOff>171450</xdr:rowOff>
    </xdr:from>
    <xdr:to>
      <xdr:col>10</xdr:col>
      <xdr:colOff>200025</xdr:colOff>
      <xdr:row>3</xdr:row>
      <xdr:rowOff>123825</xdr:rowOff>
    </xdr:to>
    <xdr:sp macro="" textlink="">
      <xdr:nvSpPr>
        <xdr:cNvPr id="3" name="Rectangle à coins arrondis 2">
          <a:hlinkClick xmlns:r="http://schemas.openxmlformats.org/officeDocument/2006/relationships" r:id="rId2"/>
        </xdr:cNvPr>
        <xdr:cNvSpPr/>
      </xdr:nvSpPr>
      <xdr:spPr>
        <a:xfrm>
          <a:off x="10477500" y="17145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1447800</xdr:colOff>
      <xdr:row>4</xdr:row>
      <xdr:rowOff>85726</xdr:rowOff>
    </xdr:from>
    <xdr:to>
      <xdr:col>10</xdr:col>
      <xdr:colOff>200025</xdr:colOff>
      <xdr:row>7</xdr:row>
      <xdr:rowOff>38101</xdr:rowOff>
    </xdr:to>
    <xdr:sp macro="[0]!Enregistrer" textlink="">
      <xdr:nvSpPr>
        <xdr:cNvPr id="4" name="Rectangle à coins arrondis 3"/>
        <xdr:cNvSpPr/>
      </xdr:nvSpPr>
      <xdr:spPr>
        <a:xfrm>
          <a:off x="10477500" y="847726"/>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1457325</xdr:colOff>
      <xdr:row>8</xdr:row>
      <xdr:rowOff>76200</xdr:rowOff>
    </xdr:from>
    <xdr:to>
      <xdr:col>10</xdr:col>
      <xdr:colOff>228600</xdr:colOff>
      <xdr:row>10</xdr:row>
      <xdr:rowOff>142875</xdr:rowOff>
    </xdr:to>
    <xdr:sp macro="[0]!Enregistrer_et_quitter" textlink="">
      <xdr:nvSpPr>
        <xdr:cNvPr id="5" name="Rectangle à coins arrondis 4"/>
        <xdr:cNvSpPr/>
      </xdr:nvSpPr>
      <xdr:spPr>
        <a:xfrm>
          <a:off x="10487025" y="1600200"/>
          <a:ext cx="1152525" cy="5524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783253</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9</xdr:col>
      <xdr:colOff>9525</xdr:colOff>
      <xdr:row>1</xdr:row>
      <xdr:rowOff>95250</xdr:rowOff>
    </xdr:from>
    <xdr:to>
      <xdr:col>10</xdr:col>
      <xdr:colOff>381000</xdr:colOff>
      <xdr:row>4</xdr:row>
      <xdr:rowOff>47625</xdr:rowOff>
    </xdr:to>
    <xdr:sp macro="" textlink="">
      <xdr:nvSpPr>
        <xdr:cNvPr id="3" name="Rectangle à coins arrondis 2">
          <a:hlinkClick xmlns:r="http://schemas.openxmlformats.org/officeDocument/2006/relationships" r:id="rId2"/>
        </xdr:cNvPr>
        <xdr:cNvSpPr/>
      </xdr:nvSpPr>
      <xdr:spPr>
        <a:xfrm>
          <a:off x="9467850" y="285750"/>
          <a:ext cx="13049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9</xdr:col>
      <xdr:colOff>9525</xdr:colOff>
      <xdr:row>5</xdr:row>
      <xdr:rowOff>9526</xdr:rowOff>
    </xdr:from>
    <xdr:to>
      <xdr:col>10</xdr:col>
      <xdr:colOff>381000</xdr:colOff>
      <xdr:row>7</xdr:row>
      <xdr:rowOff>152401</xdr:rowOff>
    </xdr:to>
    <xdr:sp macro="[0]!Enregistrer" textlink="">
      <xdr:nvSpPr>
        <xdr:cNvPr id="4" name="Rectangle à coins arrondis 3"/>
        <xdr:cNvSpPr/>
      </xdr:nvSpPr>
      <xdr:spPr>
        <a:xfrm>
          <a:off x="9467850" y="962026"/>
          <a:ext cx="13049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9</xdr:col>
      <xdr:colOff>9525</xdr:colOff>
      <xdr:row>8</xdr:row>
      <xdr:rowOff>28575</xdr:rowOff>
    </xdr:from>
    <xdr:to>
      <xdr:col>10</xdr:col>
      <xdr:colOff>381000</xdr:colOff>
      <xdr:row>10</xdr:row>
      <xdr:rowOff>171450</xdr:rowOff>
    </xdr:to>
    <xdr:sp macro="[0]!Enregistrer_et_quitter" textlink="">
      <xdr:nvSpPr>
        <xdr:cNvPr id="5" name="Rectangle à coins arrondis 4"/>
        <xdr:cNvSpPr/>
      </xdr:nvSpPr>
      <xdr:spPr>
        <a:xfrm>
          <a:off x="9467850" y="1657350"/>
          <a:ext cx="13049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twoCellAnchor>
    <xdr:from>
      <xdr:col>0</xdr:col>
      <xdr:colOff>266700</xdr:colOff>
      <xdr:row>10</xdr:row>
      <xdr:rowOff>95249</xdr:rowOff>
    </xdr:from>
    <xdr:to>
      <xdr:col>6</xdr:col>
      <xdr:colOff>994833</xdr:colOff>
      <xdr:row>30</xdr:row>
      <xdr:rowOff>148167</xdr:rowOff>
    </xdr:to>
    <xdr:grpSp>
      <xdr:nvGrpSpPr>
        <xdr:cNvPr id="15" name="Groupe 14"/>
        <xdr:cNvGrpSpPr/>
      </xdr:nvGrpSpPr>
      <xdr:grpSpPr>
        <a:xfrm>
          <a:off x="266700" y="2106082"/>
          <a:ext cx="6316133" cy="3862918"/>
          <a:chOff x="266700" y="2105024"/>
          <a:chExt cx="6057900" cy="3705226"/>
        </a:xfrm>
      </xdr:grpSpPr>
      <xdr:graphicFrame macro="">
        <xdr:nvGraphicFramePr>
          <xdr:cNvPr id="7" name="Graphique 6"/>
          <xdr:cNvGraphicFramePr/>
        </xdr:nvGraphicFramePr>
        <xdr:xfrm>
          <a:off x="266700" y="2105024"/>
          <a:ext cx="6057900" cy="3705226"/>
        </xdr:xfrm>
        <a:graphic>
          <a:graphicData uri="http://schemas.openxmlformats.org/drawingml/2006/chart">
            <c:chart xmlns:c="http://schemas.openxmlformats.org/drawingml/2006/chart" xmlns:r="http://schemas.openxmlformats.org/officeDocument/2006/relationships" r:id="rId3"/>
          </a:graphicData>
        </a:graphic>
      </xdr:graphicFrame>
      <xdr:pic>
        <xdr:nvPicPr>
          <xdr:cNvPr id="8" name="Image 7"/>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90600" y="5248276"/>
            <a:ext cx="352425" cy="497870"/>
          </a:xfrm>
          <a:prstGeom prst="rect">
            <a:avLst/>
          </a:prstGeom>
        </xdr:spPr>
      </xdr:pic>
      <xdr:pic>
        <xdr:nvPicPr>
          <xdr:cNvPr id="9" name="Image 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448300" y="5334000"/>
            <a:ext cx="409575" cy="409575"/>
          </a:xfrm>
          <a:prstGeom prst="rect">
            <a:avLst/>
          </a:prstGeom>
        </xdr:spPr>
      </xdr:pic>
    </xdr:grpSp>
    <xdr:clientData/>
  </xdr:twoCellAnchor>
  <xdr:twoCellAnchor editAs="oneCell">
    <xdr:from>
      <xdr:col>0</xdr:col>
      <xdr:colOff>247647</xdr:colOff>
      <xdr:row>31</xdr:row>
      <xdr:rowOff>9526</xdr:rowOff>
    </xdr:from>
    <xdr:to>
      <xdr:col>6</xdr:col>
      <xdr:colOff>1068916</xdr:colOff>
      <xdr:row>36</xdr:row>
      <xdr:rowOff>114300</xdr:rowOff>
    </xdr:to>
    <mc:AlternateContent xmlns:mc="http://schemas.openxmlformats.org/markup-compatibility/2006" xmlns:a14="http://schemas.microsoft.com/office/drawing/2010/main">
      <mc:Choice Requires="a14">
        <xdr:graphicFrame macro="">
          <xdr:nvGraphicFramePr>
            <xdr:cNvPr id="12" name="Code caisse"/>
            <xdr:cNvGraphicFramePr/>
          </xdr:nvGraphicFramePr>
          <xdr:xfrm>
            <a:off x="0" y="0"/>
            <a:ext cx="0" cy="0"/>
          </xdr:xfrm>
          <a:graphic>
            <a:graphicData uri="http://schemas.microsoft.com/office/drawing/2010/slicer">
              <sle:slicer xmlns:sle="http://schemas.microsoft.com/office/drawing/2010/slicer" name="Code caisse"/>
            </a:graphicData>
          </a:graphic>
        </xdr:graphicFrame>
      </mc:Choice>
      <mc:Fallback xmlns="">
        <xdr:sp macro="" textlink="">
          <xdr:nvSpPr>
            <xdr:cNvPr id="0" name=""/>
            <xdr:cNvSpPr>
              <a:spLocks noTextEdit="1"/>
            </xdr:cNvSpPr>
          </xdr:nvSpPr>
          <xdr:spPr>
            <a:xfrm>
              <a:off x="247648" y="6019801"/>
              <a:ext cx="6057902" cy="1057274"/>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editAs="oneCell">
    <xdr:from>
      <xdr:col>6</xdr:col>
      <xdr:colOff>1056216</xdr:colOff>
      <xdr:row>31</xdr:row>
      <xdr:rowOff>9527</xdr:rowOff>
    </xdr:from>
    <xdr:to>
      <xdr:col>13</xdr:col>
      <xdr:colOff>234949</xdr:colOff>
      <xdr:row>36</xdr:row>
      <xdr:rowOff>123827</xdr:rowOff>
    </xdr:to>
    <mc:AlternateContent xmlns:mc="http://schemas.openxmlformats.org/markup-compatibility/2006" xmlns:a14="http://schemas.microsoft.com/office/drawing/2010/main">
      <mc:Choice Requires="a14">
        <xdr:graphicFrame macro="">
          <xdr:nvGraphicFramePr>
            <xdr:cNvPr id="11" name="Mois"/>
            <xdr:cNvGraphicFramePr/>
          </xdr:nvGraphicFramePr>
          <xdr:xfrm>
            <a:off x="0" y="0"/>
            <a:ext cx="0" cy="0"/>
          </xdr:xfrm>
          <a:graphic>
            <a:graphicData uri="http://schemas.microsoft.com/office/drawing/2010/slicer">
              <sle:slicer xmlns:sle="http://schemas.microsoft.com/office/drawing/2010/slicer" name="Mois"/>
            </a:graphicData>
          </a:graphic>
        </xdr:graphicFrame>
      </mc:Choice>
      <mc:Fallback xmlns="">
        <xdr:sp macro="" textlink="">
          <xdr:nvSpPr>
            <xdr:cNvPr id="0" name=""/>
            <xdr:cNvSpPr>
              <a:spLocks noTextEdit="1"/>
            </xdr:cNvSpPr>
          </xdr:nvSpPr>
          <xdr:spPr>
            <a:xfrm>
              <a:off x="6644216" y="6020860"/>
              <a:ext cx="6756400" cy="10668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xdr:from>
      <xdr:col>0</xdr:col>
      <xdr:colOff>247650</xdr:colOff>
      <xdr:row>36</xdr:row>
      <xdr:rowOff>114299</xdr:rowOff>
    </xdr:from>
    <xdr:to>
      <xdr:col>6</xdr:col>
      <xdr:colOff>1090083</xdr:colOff>
      <xdr:row>59</xdr:row>
      <xdr:rowOff>95250</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1085850</xdr:colOff>
      <xdr:row>36</xdr:row>
      <xdr:rowOff>114300</xdr:rowOff>
    </xdr:from>
    <xdr:to>
      <xdr:col>13</xdr:col>
      <xdr:colOff>243416</xdr:colOff>
      <xdr:row>59</xdr:row>
      <xdr:rowOff>95250</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6</xdr:col>
      <xdr:colOff>1056216</xdr:colOff>
      <xdr:row>26</xdr:row>
      <xdr:rowOff>42334</xdr:rowOff>
    </xdr:from>
    <xdr:to>
      <xdr:col>13</xdr:col>
      <xdr:colOff>222250</xdr:colOff>
      <xdr:row>31</xdr:row>
      <xdr:rowOff>31751</xdr:rowOff>
    </xdr:to>
    <mc:AlternateContent xmlns:mc="http://schemas.openxmlformats.org/markup-compatibility/2006" xmlns:a14="http://schemas.microsoft.com/office/drawing/2010/main">
      <mc:Choice Requires="a14">
        <xdr:graphicFrame macro="">
          <xdr:nvGraphicFramePr>
            <xdr:cNvPr id="6" name="Année"/>
            <xdr:cNvGraphicFramePr/>
          </xdr:nvGraphicFramePr>
          <xdr:xfrm>
            <a:off x="0" y="0"/>
            <a:ext cx="0" cy="0"/>
          </xdr:xfrm>
          <a:graphic>
            <a:graphicData uri="http://schemas.microsoft.com/office/drawing/2010/slicer">
              <sle:slicer xmlns:sle="http://schemas.microsoft.com/office/drawing/2010/slicer" name="Année"/>
            </a:graphicData>
          </a:graphic>
        </xdr:graphicFrame>
      </mc:Choice>
      <mc:Fallback xmlns="">
        <xdr:sp macro="" textlink="">
          <xdr:nvSpPr>
            <xdr:cNvPr id="0" name=""/>
            <xdr:cNvSpPr>
              <a:spLocks noTextEdit="1"/>
            </xdr:cNvSpPr>
          </xdr:nvSpPr>
          <xdr:spPr>
            <a:xfrm>
              <a:off x="6644216" y="5101167"/>
              <a:ext cx="6743701" cy="941917"/>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xdr:from>
      <xdr:col>0</xdr:col>
      <xdr:colOff>247649</xdr:colOff>
      <xdr:row>59</xdr:row>
      <xdr:rowOff>105834</xdr:rowOff>
    </xdr:from>
    <xdr:to>
      <xdr:col>13</xdr:col>
      <xdr:colOff>253999</xdr:colOff>
      <xdr:row>94</xdr:row>
      <xdr:rowOff>63500</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rine mansier" refreshedDate="41393.699544675925" createdVersion="4" refreshedVersion="4" minRefreshableVersion="3" recordCount="12">
  <cacheSource type="worksheet">
    <worksheetSource name="ventes"/>
  </cacheSource>
  <cacheFields count="14">
    <cacheField name="Date" numFmtId="14">
      <sharedItems containsDate="1" containsMixedTypes="1" minDate="2012-12-12T00:00:00" maxDate="2013-05-06T00:00:00"/>
    </cacheField>
    <cacheField name="Nature opération" numFmtId="0">
      <sharedItems containsBlank="1" count="7">
        <s v="Vente CE"/>
        <s v="Vente Boutique"/>
        <s v="Vente Domicile"/>
        <s v="Vente Foire"/>
        <s v="Vente Internet"/>
        <m u="1"/>
        <s v="Vente Camping" u="1"/>
      </sharedItems>
    </cacheField>
    <cacheField name="Code caisse" numFmtId="0">
      <sharedItems containsSemiMixedTypes="0" containsString="0" containsNumber="1" containsInteger="1" minValue="1" maxValue="4" count="4">
        <n v="3"/>
        <n v="1"/>
        <n v="2"/>
        <n v="4"/>
      </sharedItems>
    </cacheField>
    <cacheField name="Référence produit" numFmtId="0">
      <sharedItems/>
    </cacheField>
    <cacheField name="Désignation" numFmtId="0">
      <sharedItems containsBlank="1" count="12">
        <s v="Collier popcorn"/>
        <s v="Dragibus"/>
        <s v="Boucles fashion"/>
        <s v="Ensemble opales"/>
        <s v="Boucles d'or"/>
        <m u="1"/>
        <s v="jhdsgfds" u="1"/>
        <s v="fg" u="1"/>
        <s v="col" u="1"/>
        <s v="boucles" u="1"/>
        <s v="jhgefer" u="1"/>
        <s v="qskjhdfbjqhdsbfkbjqs" u="1"/>
      </sharedItems>
    </cacheField>
    <cacheField name="Marque" numFmtId="0">
      <sharedItems/>
    </cacheField>
    <cacheField name="Quantité" numFmtId="0">
      <sharedItems containsSemiMixedTypes="0" containsString="0" containsNumber="1" containsInteger="1" minValue="1" maxValue="23"/>
    </cacheField>
    <cacheField name="Prix de vente unitaire" numFmtId="166">
      <sharedItems containsSemiMixedTypes="0" containsString="0" containsNumber="1" minValue="0.11" maxValue="40"/>
    </cacheField>
    <cacheField name="Soldes" numFmtId="166">
      <sharedItems containsBlank="1"/>
    </cacheField>
    <cacheField name="Total" numFmtId="166">
      <sharedItems containsSemiMixedTypes="0" containsString="0" containsNumber="1" minValue="2.5299999999999998" maxValue="120"/>
    </cacheField>
    <cacheField name="Mode paiement" numFmtId="166">
      <sharedItems/>
    </cacheField>
    <cacheField name="Commentaires" numFmtId="0">
      <sharedItems containsBlank="1"/>
    </cacheField>
    <cacheField name="Mois" numFmtId="168">
      <sharedItems containsDate="1" containsMixedTypes="1" minDate="1899-12-30T00:00:00" maxDate="2013-05-06T00:00:00" count="23">
        <s v="janvier"/>
        <s v="mars"/>
        <s v="avril"/>
        <s v="mai"/>
        <s v="décembre"/>
        <d v="2013-04-05T00:00:00" u="1"/>
        <s v="mars 2013" u="1"/>
        <s v="décembre 2012" u="1"/>
        <d v="2013-05-03T00:00:00" u="1"/>
        <d v="2012-12-12T00:00:00" u="1"/>
        <d v="2013-05-01T00:00:00" u="1"/>
        <d v="2012-11-12T00:00:00" u="1"/>
        <d v="2011-12-03T00:00:00" u="1"/>
        <s v="janvier 2013" u="1"/>
        <d v="2013-04-04T00:00:00" u="1"/>
        <d v="1899-12-30T00:00:00" u="1"/>
        <s v="mai 2013" u="1"/>
        <d v="2013-05-02T00:00:00" u="1"/>
        <d v="2013-03-04T00:00:00" u="1"/>
        <d v="2012-12-30T00:00:00" u="1"/>
        <d v="2013-01-04T00:00:00" u="1"/>
        <s v="avril 2013" u="1"/>
        <d v="2013-05-05T00:00:00" u="1"/>
      </sharedItems>
    </cacheField>
    <cacheField name="Année" numFmtId="168">
      <sharedItems count="2">
        <s v="2013"/>
        <s v="2012"/>
      </sharedItems>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marine mansier" refreshedDate="41393.69954548611" createdVersion="4" refreshedVersion="4" minRefreshableVersion="3" recordCount="7">
  <cacheSource type="worksheet">
    <worksheetSource name="historique"/>
  </cacheSource>
  <cacheFields count="7">
    <cacheField name="Date" numFmtId="14">
      <sharedItems containsSemiMixedTypes="0" containsNonDate="0" containsDate="1" containsString="0" minDate="2013-04-04T00:00:00" maxDate="2013-05-06T00:00:00"/>
    </cacheField>
    <cacheField name="Météo" numFmtId="0">
      <sharedItems containsSemiMixedTypes="0" containsString="0" containsNumber="1" containsInteger="1" minValue="1" maxValue="5" count="5">
        <n v="5"/>
        <n v="1"/>
        <n v="4"/>
        <n v="2" u="1"/>
        <n v="3" u="1"/>
      </sharedItems>
    </cacheField>
    <cacheField name="Fond de caisse fin de journée" numFmtId="166">
      <sharedItems containsSemiMixedTypes="0" containsString="0" containsNumber="1" minValue="200" maxValue="1251.05"/>
    </cacheField>
    <cacheField name="Nombre de chèques" numFmtId="0">
      <sharedItems containsSemiMixedTypes="0" containsString="0" containsNumber="1" containsInteger="1" minValue="2" maxValue="4"/>
    </cacheField>
    <cacheField name="Total chèques" numFmtId="166">
      <sharedItems containsSemiMixedTypes="0" containsString="0" containsNumber="1" containsInteger="1" minValue="32" maxValue="51"/>
    </cacheField>
    <cacheField name="CA journée" numFmtId="166">
      <sharedItems containsSemiMixedTypes="0" containsString="0" containsNumber="1" minValue="32" maxValue="1102.05"/>
    </cacheField>
    <cacheField name="CA cumulé" numFmtId="166">
      <sharedItems containsSemiMixedTypes="0" containsString="0" containsNumber="1" minValue="32" maxValue="2647.8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2">
  <r>
    <d v="2013-01-04T00:00:00"/>
    <x v="0"/>
    <x v="0"/>
    <s v="COL001"/>
    <x v="0"/>
    <s v="BALI1"/>
    <n v="1"/>
    <n v="11"/>
    <s v="OUI"/>
    <n v="11"/>
    <s v="Espèces"/>
    <m/>
    <x v="0"/>
    <x v="0"/>
  </r>
  <r>
    <d v="2013-03-04T00:00:00"/>
    <x v="1"/>
    <x v="1"/>
    <s v="BON001"/>
    <x v="1"/>
    <s v="W124J"/>
    <n v="23"/>
    <n v="0.12"/>
    <m/>
    <n v="2.76"/>
    <s v="Chèque"/>
    <s v="approximatif"/>
    <x v="1"/>
    <x v="0"/>
  </r>
  <r>
    <d v="2013-04-04T00:00:00"/>
    <x v="2"/>
    <x v="0"/>
    <s v="COL001"/>
    <x v="0"/>
    <s v="BALI1"/>
    <n v="1"/>
    <n v="10.5"/>
    <m/>
    <n v="10.5"/>
    <s v="Carte cadeau"/>
    <m/>
    <x v="2"/>
    <x v="0"/>
  </r>
  <r>
    <d v="2013-04-04T00:00:00"/>
    <x v="1"/>
    <x v="2"/>
    <s v="BOU002"/>
    <x v="2"/>
    <s v="WAHOU1"/>
    <n v="2"/>
    <n v="2.5"/>
    <m/>
    <n v="5"/>
    <s v="Espèces"/>
    <m/>
    <x v="2"/>
    <x v="0"/>
  </r>
  <r>
    <d v="2013-04-04T00:00:00"/>
    <x v="2"/>
    <x v="3"/>
    <s v="PAR001"/>
    <x v="3"/>
    <s v="ZGRH1224"/>
    <n v="2"/>
    <n v="30"/>
    <m/>
    <n v="60"/>
    <s v="Chèque"/>
    <m/>
    <x v="2"/>
    <x v="0"/>
  </r>
  <r>
    <d v="2013-05-01T00:00:00"/>
    <x v="1"/>
    <x v="1"/>
    <s v="BON001"/>
    <x v="1"/>
    <s v="W124J"/>
    <n v="23"/>
    <n v="0.11"/>
    <m/>
    <n v="2.5299999999999998"/>
    <s v="Espèces"/>
    <m/>
    <x v="3"/>
    <x v="0"/>
  </r>
  <r>
    <d v="2013-05-02T00:00:00"/>
    <x v="1"/>
    <x v="2"/>
    <s v="BOU002"/>
    <x v="2"/>
    <s v="WAHOU1"/>
    <n v="5"/>
    <n v="1"/>
    <s v="OUI"/>
    <n v="5"/>
    <s v="Espèces"/>
    <s v="prix vente groupée"/>
    <x v="3"/>
    <x v="0"/>
  </r>
  <r>
    <d v="2013-05-03T00:00:00"/>
    <x v="0"/>
    <x v="3"/>
    <s v="PAR001"/>
    <x v="3"/>
    <s v="ZGRH1224"/>
    <n v="3"/>
    <n v="40"/>
    <m/>
    <n v="120"/>
    <s v="Espèces"/>
    <m/>
    <x v="3"/>
    <x v="0"/>
  </r>
  <r>
    <d v="2013-04-05T00:00:00"/>
    <x v="3"/>
    <x v="0"/>
    <s v="COL001"/>
    <x v="0"/>
    <s v="BALI1"/>
    <n v="1"/>
    <n v="10"/>
    <m/>
    <n v="10"/>
    <s v="Carte cadeau"/>
    <m/>
    <x v="2"/>
    <x v="0"/>
  </r>
  <r>
    <d v="2013-05-05T00:00:00"/>
    <x v="4"/>
    <x v="0"/>
    <s v="COL001"/>
    <x v="0"/>
    <s v="BALI1"/>
    <n v="2"/>
    <n v="10.5"/>
    <m/>
    <n v="21"/>
    <s v="Chèque"/>
    <m/>
    <x v="3"/>
    <x v="0"/>
  </r>
  <r>
    <d v="2012-12-12T00:00:00"/>
    <x v="1"/>
    <x v="3"/>
    <s v="PAR001"/>
    <x v="3"/>
    <s v="ZGRH1224"/>
    <n v="1"/>
    <n v="40"/>
    <m/>
    <n v="40"/>
    <s v="Chèque"/>
    <m/>
    <x v="4"/>
    <x v="1"/>
  </r>
  <r>
    <s v="29/04/2013"/>
    <x v="2"/>
    <x v="2"/>
    <s v="BOU003"/>
    <x v="4"/>
    <s v="gnagnagna"/>
    <n v="1"/>
    <n v="9"/>
    <s v="OUI"/>
    <n v="9"/>
    <s v="Chèque"/>
    <m/>
    <x v="2"/>
    <x v="0"/>
  </r>
</pivotCacheRecords>
</file>

<file path=xl/pivotCache/pivotCacheRecords2.xml><?xml version="1.0" encoding="utf-8"?>
<pivotCacheRecords xmlns="http://schemas.openxmlformats.org/spreadsheetml/2006/main" xmlns:r="http://schemas.openxmlformats.org/officeDocument/2006/relationships" count="7">
  <r>
    <d v="2013-04-04T00:00:00"/>
    <x v="0"/>
    <n v="200"/>
    <n v="2"/>
    <n v="32"/>
    <n v="32"/>
    <n v="32"/>
  </r>
  <r>
    <d v="2013-04-26T00:00:00"/>
    <x v="0"/>
    <n v="246.2"/>
    <n v="2"/>
    <n v="32"/>
    <n v="78.199999999999989"/>
    <n v="110.19999999999999"/>
  </r>
  <r>
    <d v="2013-04-27T00:00:00"/>
    <x v="1"/>
    <n v="200.2"/>
    <n v="2"/>
    <n v="32"/>
    <n v="32.199999999999989"/>
    <n v="142.39999999999998"/>
  </r>
  <r>
    <d v="2013-04-28T00:00:00"/>
    <x v="2"/>
    <n v="318.7"/>
    <n v="2"/>
    <n v="32"/>
    <n v="150.69999999999999"/>
    <n v="293.09999999999997"/>
  </r>
  <r>
    <d v="2013-05-03T00:00:00"/>
    <x v="2"/>
    <n v="318.7"/>
    <n v="2"/>
    <n v="32"/>
    <n v="150.69999999999999"/>
    <n v="443.79999999999995"/>
  </r>
  <r>
    <d v="2013-05-05T00:00:00"/>
    <x v="1"/>
    <n v="1251.04"/>
    <n v="4"/>
    <n v="51"/>
    <n v="1102.04"/>
    <n v="1545.84"/>
  </r>
  <r>
    <d v="2013-04-29T00:00:00"/>
    <x v="2"/>
    <n v="1251.05"/>
    <n v="4"/>
    <n v="51"/>
    <n v="1102.05"/>
    <n v="2647.8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7" cacheId="0"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3">
  <location ref="A13:B19" firstHeaderRow="1" firstDataRow="1" firstDataCol="1" rowPageCount="2" colPageCount="1"/>
  <pivotFields count="14">
    <pivotField showAll="0"/>
    <pivotField showAll="0"/>
    <pivotField axis="axisPage" multipleItemSelectionAllowed="1" showAll="0">
      <items count="5">
        <item x="1"/>
        <item x="2"/>
        <item x="0"/>
        <item x="3"/>
        <item t="default"/>
      </items>
    </pivotField>
    <pivotField showAll="0"/>
    <pivotField axis="axisRow" showAll="0">
      <items count="13">
        <item m="1" x="9"/>
        <item m="1" x="8"/>
        <item m="1" x="7"/>
        <item m="1" x="6"/>
        <item m="1" x="10"/>
        <item m="1" x="11"/>
        <item m="1" x="5"/>
        <item x="0"/>
        <item x="1"/>
        <item x="2"/>
        <item x="3"/>
        <item x="4"/>
        <item t="default"/>
      </items>
    </pivotField>
    <pivotField showAll="0"/>
    <pivotField showAll="0"/>
    <pivotField showAll="0"/>
    <pivotField showAll="0"/>
    <pivotField dataField="1" showAll="0"/>
    <pivotField showAll="0"/>
    <pivotField showAll="0"/>
    <pivotField axis="axisPage" showAll="0">
      <items count="24">
        <item m="1" x="15"/>
        <item m="1" x="12"/>
        <item m="1" x="11"/>
        <item m="1" x="9"/>
        <item m="1" x="19"/>
        <item m="1" x="20"/>
        <item m="1" x="18"/>
        <item m="1" x="14"/>
        <item m="1" x="10"/>
        <item m="1" x="17"/>
        <item m="1" x="8"/>
        <item m="1" x="5"/>
        <item m="1" x="22"/>
        <item m="1" x="13"/>
        <item m="1" x="6"/>
        <item m="1" x="21"/>
        <item m="1" x="16"/>
        <item m="1" x="7"/>
        <item x="0"/>
        <item x="1"/>
        <item x="2"/>
        <item x="3"/>
        <item x="4"/>
        <item t="default"/>
      </items>
    </pivotField>
    <pivotField showAll="0" defaultSubtotal="0">
      <items count="2">
        <item x="1"/>
        <item x="0"/>
      </items>
    </pivotField>
  </pivotFields>
  <rowFields count="1">
    <field x="4"/>
  </rowFields>
  <rowItems count="6">
    <i>
      <x v="7"/>
    </i>
    <i>
      <x v="8"/>
    </i>
    <i>
      <x v="9"/>
    </i>
    <i>
      <x v="10"/>
    </i>
    <i>
      <x v="11"/>
    </i>
    <i t="grand">
      <x/>
    </i>
  </rowItems>
  <colItems count="1">
    <i/>
  </colItems>
  <pageFields count="2">
    <pageField fld="2" hier="-1"/>
    <pageField fld="12" hier="-1"/>
  </pageFields>
  <dataFields count="1">
    <dataField name="Somme de Total" fld="9" baseField="0" baseItem="1"/>
  </dataFields>
  <chartFormats count="1">
    <chartFormat chart="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eau croisé dynamique6" cacheId="1"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1">
  <location ref="A1:B5" firstHeaderRow="1" firstDataRow="1" firstDataCol="1"/>
  <pivotFields count="7">
    <pivotField numFmtId="14" showAll="0"/>
    <pivotField axis="axisRow" showAll="0">
      <items count="6">
        <item x="1"/>
        <item m="1" x="3"/>
        <item m="1" x="4"/>
        <item x="2"/>
        <item x="0"/>
        <item t="default"/>
      </items>
    </pivotField>
    <pivotField numFmtId="166" showAll="0"/>
    <pivotField showAll="0"/>
    <pivotField numFmtId="166" showAll="0"/>
    <pivotField dataField="1" numFmtId="166" showAll="0"/>
    <pivotField numFmtId="166" showAll="0"/>
  </pivotFields>
  <rowFields count="1">
    <field x="1"/>
  </rowFields>
  <rowItems count="4">
    <i>
      <x/>
    </i>
    <i>
      <x v="3"/>
    </i>
    <i>
      <x v="4"/>
    </i>
    <i t="grand">
      <x/>
    </i>
  </rowItems>
  <colItems count="1">
    <i/>
  </colItems>
  <dataFields count="1">
    <dataField name="Moyenne de CA journée" fld="5" subtotal="average" baseField="1" baseItem="0"/>
  </dataFields>
  <chartFormats count="2">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leau croisé dynamique1" cacheId="0"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3">
  <location ref="A34:F43" firstHeaderRow="1" firstDataRow="2" firstDataCol="1"/>
  <pivotFields count="14">
    <pivotField numFmtId="14" showAll="0"/>
    <pivotField showAll="0"/>
    <pivotField axis="axisCol" showAll="0">
      <items count="5">
        <item x="1"/>
        <item x="2"/>
        <item x="0"/>
        <item x="3"/>
        <item t="default"/>
      </items>
    </pivotField>
    <pivotField showAll="0"/>
    <pivotField showAll="0"/>
    <pivotField showAll="0"/>
    <pivotField showAll="0"/>
    <pivotField numFmtId="166" showAll="0"/>
    <pivotField showAll="0"/>
    <pivotField dataField="1" numFmtId="166" showAll="0"/>
    <pivotField showAll="0"/>
    <pivotField showAll="0"/>
    <pivotField axis="axisRow" showAll="0">
      <items count="24">
        <item x="0"/>
        <item x="1"/>
        <item x="2"/>
        <item x="3"/>
        <item x="4"/>
        <item m="1" x="21"/>
        <item m="1" x="7"/>
        <item m="1" x="13"/>
        <item m="1" x="16"/>
        <item m="1" x="6"/>
        <item m="1" x="15"/>
        <item m="1" x="12"/>
        <item m="1" x="11"/>
        <item m="1" x="9"/>
        <item m="1" x="19"/>
        <item m="1" x="20"/>
        <item m="1" x="18"/>
        <item m="1" x="14"/>
        <item m="1" x="5"/>
        <item m="1" x="10"/>
        <item m="1" x="17"/>
        <item m="1" x="8"/>
        <item m="1" x="22"/>
        <item t="default"/>
      </items>
    </pivotField>
    <pivotField axis="axisRow" showAll="0">
      <items count="3">
        <item x="1"/>
        <item x="0"/>
        <item t="default"/>
      </items>
    </pivotField>
  </pivotFields>
  <rowFields count="2">
    <field x="13"/>
    <field x="12"/>
  </rowFields>
  <rowItems count="8">
    <i>
      <x/>
    </i>
    <i r="1">
      <x v="4"/>
    </i>
    <i>
      <x v="1"/>
    </i>
    <i r="1">
      <x/>
    </i>
    <i r="1">
      <x v="1"/>
    </i>
    <i r="1">
      <x v="2"/>
    </i>
    <i r="1">
      <x v="3"/>
    </i>
    <i t="grand">
      <x/>
    </i>
  </rowItems>
  <colFields count="1">
    <field x="2"/>
  </colFields>
  <colItems count="5">
    <i>
      <x/>
    </i>
    <i>
      <x v="1"/>
    </i>
    <i>
      <x v="2"/>
    </i>
    <i>
      <x v="3"/>
    </i>
    <i t="grand">
      <x/>
    </i>
  </colItems>
  <dataFields count="1">
    <dataField name="Somme de Total" fld="9" baseField="0" baseItem="0"/>
  </dataFields>
  <chartFormats count="4">
    <chartFormat chart="2" format="6" series="1">
      <pivotArea type="data" outline="0" fieldPosition="0">
        <references count="2">
          <reference field="4294967294" count="1" selected="0">
            <x v="0"/>
          </reference>
          <reference field="2" count="1" selected="0">
            <x v="0"/>
          </reference>
        </references>
      </pivotArea>
    </chartFormat>
    <chartFormat chart="2" format="7" series="1">
      <pivotArea type="data" outline="0" fieldPosition="0">
        <references count="2">
          <reference field="4294967294" count="1" selected="0">
            <x v="0"/>
          </reference>
          <reference field="2" count="1" selected="0">
            <x v="1"/>
          </reference>
        </references>
      </pivotArea>
    </chartFormat>
    <chartFormat chart="2" format="8" series="1">
      <pivotArea type="data" outline="0" fieldPosition="0">
        <references count="2">
          <reference field="4294967294" count="1" selected="0">
            <x v="0"/>
          </reference>
          <reference field="2" count="1" selected="0">
            <x v="2"/>
          </reference>
        </references>
      </pivotArea>
    </chartFormat>
    <chartFormat chart="2" format="9"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ableau croisé dynamique9" cacheId="0"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3">
  <location ref="A25:B31" firstHeaderRow="1" firstDataRow="1" firstDataCol="1" rowPageCount="2" colPageCount="1"/>
  <pivotFields count="14">
    <pivotField numFmtId="14" showAll="0"/>
    <pivotField axis="axisRow" showAll="0">
      <items count="8">
        <item x="1"/>
        <item m="1" x="6"/>
        <item x="0"/>
        <item x="2"/>
        <item x="3"/>
        <item x="4"/>
        <item m="1" x="5"/>
        <item t="default"/>
      </items>
    </pivotField>
    <pivotField axis="axisPage" showAll="0">
      <items count="5">
        <item x="1"/>
        <item x="2"/>
        <item x="0"/>
        <item x="3"/>
        <item t="default"/>
      </items>
    </pivotField>
    <pivotField showAll="0"/>
    <pivotField showAll="0"/>
    <pivotField showAll="0"/>
    <pivotField showAll="0"/>
    <pivotField numFmtId="166" showAll="0"/>
    <pivotField showAll="0"/>
    <pivotField dataField="1" numFmtId="166" showAll="0"/>
    <pivotField showAll="0"/>
    <pivotField showAll="0"/>
    <pivotField axis="axisPage" numFmtId="168" showAll="0">
      <items count="24">
        <item m="1" x="15"/>
        <item m="1" x="12"/>
        <item m="1" x="11"/>
        <item m="1" x="9"/>
        <item m="1" x="19"/>
        <item m="1" x="20"/>
        <item m="1" x="18"/>
        <item m="1" x="14"/>
        <item m="1" x="5"/>
        <item m="1" x="10"/>
        <item m="1" x="17"/>
        <item m="1" x="8"/>
        <item m="1" x="22"/>
        <item m="1" x="13"/>
        <item m="1" x="6"/>
        <item m="1" x="21"/>
        <item m="1" x="16"/>
        <item m="1" x="7"/>
        <item x="0"/>
        <item x="1"/>
        <item x="2"/>
        <item x="3"/>
        <item x="4"/>
        <item t="default"/>
      </items>
    </pivotField>
    <pivotField showAll="0" defaultSubtotal="0">
      <items count="2">
        <item x="1"/>
        <item x="0"/>
      </items>
    </pivotField>
  </pivotFields>
  <rowFields count="1">
    <field x="1"/>
  </rowFields>
  <rowItems count="6">
    <i>
      <x/>
    </i>
    <i>
      <x v="2"/>
    </i>
    <i>
      <x v="3"/>
    </i>
    <i>
      <x v="4"/>
    </i>
    <i>
      <x v="5"/>
    </i>
    <i t="grand">
      <x/>
    </i>
  </rowItems>
  <colItems count="1">
    <i/>
  </colItems>
  <pageFields count="2">
    <pageField fld="12" hier="-1"/>
    <pageField fld="2" hier="-1"/>
  </pageFields>
  <dataFields count="1">
    <dataField name="Somme de Total" fld="9" baseField="1" baseItem="0"/>
  </dataFields>
  <chartFormats count="3">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location ref="A4:A5" firstHeaderRow="1" firstDataRow="1" firstDataCol="0" rowPageCount="2" colPageCount="1"/>
  <pivotFields count="14">
    <pivotField showAll="0"/>
    <pivotField showAll="0"/>
    <pivotField showAll="0">
      <items count="5">
        <item x="1"/>
        <item x="2"/>
        <item x="0"/>
        <item x="3"/>
        <item t="default"/>
      </items>
    </pivotField>
    <pivotField showAll="0"/>
    <pivotField showAll="0"/>
    <pivotField showAll="0"/>
    <pivotField showAll="0"/>
    <pivotField numFmtId="166" showAll="0"/>
    <pivotField showAll="0"/>
    <pivotField dataField="1" numFmtId="166" showAll="0"/>
    <pivotField showAll="0"/>
    <pivotField showAll="0"/>
    <pivotField axis="axisPage" showAll="0">
      <items count="24">
        <item x="0"/>
        <item x="1"/>
        <item x="2"/>
        <item x="3"/>
        <item x="4"/>
        <item m="1" x="21"/>
        <item m="1" x="7"/>
        <item m="1" x="13"/>
        <item m="1" x="16"/>
        <item m="1" x="6"/>
        <item m="1" x="15"/>
        <item m="1" x="12"/>
        <item m="1" x="11"/>
        <item m="1" x="9"/>
        <item m="1" x="19"/>
        <item m="1" x="20"/>
        <item m="1" x="18"/>
        <item m="1" x="14"/>
        <item m="1" x="5"/>
        <item m="1" x="10"/>
        <item m="1" x="17"/>
        <item m="1" x="8"/>
        <item m="1" x="22"/>
        <item t="default"/>
      </items>
    </pivotField>
    <pivotField axis="axisPage" showAll="0">
      <items count="3">
        <item x="1"/>
        <item x="0"/>
        <item t="default"/>
      </items>
    </pivotField>
  </pivotFields>
  <rowItems count="1">
    <i/>
  </rowItems>
  <colItems count="1">
    <i/>
  </colItems>
  <pageFields count="2">
    <pageField fld="13" hier="-1"/>
    <pageField fld="12" hier="-1"/>
  </pageFields>
  <dataFields count="1">
    <dataField name="Somme de Total"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_Code_caisse" sourceName="Code caisse">
  <pivotTables>
    <pivotTable tabId="20" name="Tableau croisé dynamique7"/>
  </pivotTables>
  <data>
    <tabular pivotCacheId="4">
      <items count="4">
        <i x="1" s="1"/>
        <i x="2"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_Mois" sourceName="Mois">
  <pivotTables>
    <pivotTable tabId="20" name="Tableau croisé dynamique9"/>
    <pivotTable tabId="20" name="Tableau croisé dynamique7"/>
  </pivotTables>
  <data>
    <tabular pivotCacheId="4" showMissing="0">
      <items count="23">
        <i x="0" s="1"/>
        <i x="1" s="1"/>
        <i x="2" s="1"/>
        <i x="3" s="1"/>
        <i x="4" s="1"/>
        <i x="21" s="1" nd="1"/>
        <i x="7" s="1" nd="1"/>
        <i x="13" s="1" nd="1"/>
        <i x="16" s="1" nd="1"/>
        <i x="6" s="1" nd="1"/>
        <i x="15" s="1" nd="1"/>
        <i x="12" s="1" nd="1"/>
        <i x="11" s="1" nd="1"/>
        <i x="9" s="1" nd="1"/>
        <i x="19" s="1" nd="1"/>
        <i x="20" s="1" nd="1"/>
        <i x="18" s="1" nd="1"/>
        <i x="14" s="1" nd="1"/>
        <i x="5" s="1" nd="1"/>
        <i x="10" s="1" nd="1"/>
        <i x="17" s="1" nd="1"/>
        <i x="8" s="1" nd="1"/>
        <i x="2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_Année" sourceName="Année">
  <pivotTables>
    <pivotTable tabId="20" name="Tableau croisé dynamique7"/>
    <pivotTable tabId="20" name="Tableau croisé dynamique9"/>
    <pivotTable tabId="20" name="Tableau croisé dynamique1"/>
  </pivotTables>
  <data>
    <tabular pivotCacheId="4">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_Mois1" sourceName="Mois">
  <pivotTables>
    <pivotTable tabId="21" name="Tableau croisé dynamique2"/>
  </pivotTables>
  <data>
    <tabular pivotCacheId="4" showMissing="0">
      <items count="23">
        <i x="0" s="1"/>
        <i x="1" s="1"/>
        <i x="2" s="1"/>
        <i x="3" s="1"/>
        <i x="4" s="1"/>
        <i x="21" s="1" nd="1"/>
        <i x="7" s="1" nd="1"/>
        <i x="13" s="1" nd="1"/>
        <i x="16" s="1" nd="1"/>
        <i x="6" s="1" nd="1"/>
        <i x="15" s="1" nd="1"/>
        <i x="12" s="1" nd="1"/>
        <i x="11" s="1" nd="1"/>
        <i x="9" s="1" nd="1"/>
        <i x="19" s="1" nd="1"/>
        <i x="20" s="1" nd="1"/>
        <i x="18" s="1" nd="1"/>
        <i x="14" s="1" nd="1"/>
        <i x="5" s="1" nd="1"/>
        <i x="10" s="1" nd="1"/>
        <i x="17" s="1" nd="1"/>
        <i x="8" s="1" nd="1"/>
        <i x="2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_Année1" sourceName="Année">
  <pivotTables>
    <pivotTable tabId="21" name="Tableau croisé dynamique2"/>
  </pivotTables>
  <data>
    <tabular pivotCacheId="4" showMissing="0">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is 1" cache="Segment_Mois1" caption="Mois" columnCount="4" style="SlicerStyleDark4 2" rowHeight="241300"/>
  <slicer name="Année 1" cache="Segment_Année1" caption="Année" columnCount="4" style="SlicerStyleDark4 2"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Code caisse" cache="Segment_Code_caisse" caption="Code caisse" columnCount="10" style="SlicerStyleDark4 2" rowHeight="241300"/>
  <slicer name="Mois" cache="Segment_Mois" caption="Mois" columnCount="5" style="SlicerStyleDark4 2" rowHeight="241300"/>
  <slicer name="Année" cache="Segment_Année" caption="Année" columnCount="6" style="SlicerStyleDark4 2" rowHeight="241300"/>
</slicers>
</file>

<file path=xl/tables/table1.xml><?xml version="1.0" encoding="utf-8"?>
<table xmlns="http://schemas.openxmlformats.org/spreadsheetml/2006/main" id="2" name="CodeCaisse1" displayName="CodeCaisse1" ref="B15:G19" totalsRowShown="0" headerRowDxfId="263" dataDxfId="262">
  <autoFilter ref="B15:G19"/>
  <tableColumns count="6">
    <tableColumn id="13" name="Code caisse" dataDxfId="261"/>
    <tableColumn id="12" name="Référence produit" dataDxfId="260">
      <calculatedColumnFormula>"BON"&amp;TEXT(ROW(B1),"000")</calculatedColumnFormula>
    </tableColumn>
    <tableColumn id="2" name="Désignation" dataDxfId="259"/>
    <tableColumn id="15" name="Fournisseur" dataDxfId="258"/>
    <tableColumn id="3" name="Marque" dataDxfId="257"/>
    <tableColumn id="6" name="Prix de vente" dataDxfId="256"/>
  </tableColumns>
  <tableStyleInfo name="TableStyleMedium2" showFirstColumn="0" showLastColumn="0" showRowStripes="1" showColumnStripes="0"/>
</table>
</file>

<file path=xl/tables/table2.xml><?xml version="1.0" encoding="utf-8"?>
<table xmlns="http://schemas.openxmlformats.org/spreadsheetml/2006/main" id="4" name="CodeCaisse2" displayName="CodeCaisse2" ref="B21:G24" totalsRowShown="0" headerRowDxfId="255" dataDxfId="254">
  <autoFilter ref="B21:G24"/>
  <tableColumns count="6">
    <tableColumn id="1" name="Code caisse" dataDxfId="253"/>
    <tableColumn id="2" name="Référence produit" dataDxfId="252">
      <calculatedColumnFormula>"BOU"&amp;TEXT(ROW(B1),"000")</calculatedColumnFormula>
    </tableColumn>
    <tableColumn id="3" name="Désignation" dataDxfId="251"/>
    <tableColumn id="6" name="Fournisseur" dataDxfId="250"/>
    <tableColumn id="4" name="Marque" dataDxfId="249"/>
    <tableColumn id="5" name="Prix de vente" dataDxfId="248"/>
  </tableColumns>
  <tableStyleInfo name="TableStyleMedium2" showFirstColumn="0" showLastColumn="0" showRowStripes="1" showColumnStripes="0"/>
</table>
</file>

<file path=xl/tables/table3.xml><?xml version="1.0" encoding="utf-8"?>
<table xmlns="http://schemas.openxmlformats.org/spreadsheetml/2006/main" id="5" name="CodeCaisse3" displayName="CodeCaisse3" ref="B26:G27" totalsRowShown="0" headerRowDxfId="247" dataDxfId="246">
  <autoFilter ref="B26:G27"/>
  <tableColumns count="6">
    <tableColumn id="1" name="Code caisse" dataDxfId="245"/>
    <tableColumn id="2" name="Référence produit" dataDxfId="244">
      <calculatedColumnFormula>"COL"&amp;TEXT(ROW(B1),"000")</calculatedColumnFormula>
    </tableColumn>
    <tableColumn id="3" name="Désignation" dataDxfId="243"/>
    <tableColumn id="6" name="Fournisseur" dataDxfId="242"/>
    <tableColumn id="4" name="Marque" dataDxfId="241"/>
    <tableColumn id="5" name="Prix de vente" dataDxfId="240"/>
  </tableColumns>
  <tableStyleInfo name="TableStyleMedium2" showFirstColumn="0" showLastColumn="0" showRowStripes="1" showColumnStripes="0"/>
</table>
</file>

<file path=xl/tables/table4.xml><?xml version="1.0" encoding="utf-8"?>
<table xmlns="http://schemas.openxmlformats.org/spreadsheetml/2006/main" id="6" name="CodeCaisse4" displayName="CodeCaisse4" ref="B29:G30" totalsRowShown="0" headerRowDxfId="239" dataDxfId="238">
  <autoFilter ref="B29:G30"/>
  <tableColumns count="6">
    <tableColumn id="1" name="Code caisse" dataDxfId="237"/>
    <tableColumn id="2" name="Référence produit" dataDxfId="236">
      <calculatedColumnFormula>"PAR"&amp;TEXT(ROW(B1),"000")</calculatedColumnFormula>
    </tableColumn>
    <tableColumn id="3" name="Désignation" dataDxfId="235"/>
    <tableColumn id="6" name="Fournisseur" dataDxfId="234"/>
    <tableColumn id="4" name="Marque" dataDxfId="233"/>
    <tableColumn id="5" name="Prix de vente" dataDxfId="232"/>
  </tableColumns>
  <tableStyleInfo name="TableStyleMedium2" showFirstColumn="0" showLastColumn="0" showRowStripes="1" showColumnStripes="0"/>
</table>
</file>

<file path=xl/tables/table5.xml><?xml version="1.0" encoding="utf-8"?>
<table xmlns="http://schemas.openxmlformats.org/spreadsheetml/2006/main" id="7" name="CodeCaisse5" displayName="CodeCaisse5" ref="B32:G33" insertRow="1" totalsRowShown="0" headerRowDxfId="231" dataDxfId="230">
  <autoFilter ref="B32:G33"/>
  <tableColumns count="6">
    <tableColumn id="1" name="Code caisse" dataDxfId="229"/>
    <tableColumn id="2" name="Référence produit" dataDxfId="228">
      <calculatedColumnFormula>"BRA"&amp;TEXT(ROW(B1),"000")</calculatedColumnFormula>
    </tableColumn>
    <tableColumn id="3" name="Désignation" dataDxfId="227"/>
    <tableColumn id="6" name="Fournisseur" dataDxfId="226"/>
    <tableColumn id="4" name="Marque" dataDxfId="225"/>
    <tableColumn id="5" name="Prix de vente" dataDxfId="224"/>
  </tableColumns>
  <tableStyleInfo name="TableStyleMedium2" showFirstColumn="0" showLastColumn="0" showRowStripes="1" showColumnStripes="0"/>
</table>
</file>

<file path=xl/tables/table6.xml><?xml version="1.0" encoding="utf-8"?>
<table xmlns="http://schemas.openxmlformats.org/spreadsheetml/2006/main" id="8" name="CodeCaisse6" displayName="CodeCaisse6" ref="B35:G36" insertRow="1" totalsRowShown="0" headerRowDxfId="223" dataDxfId="222">
  <autoFilter ref="B35:G36"/>
  <tableColumns count="6">
    <tableColumn id="1" name="Code caisse" dataDxfId="221"/>
    <tableColumn id="2" name="Référence produit" dataDxfId="220">
      <calculatedColumnFormula>"CLO"&amp;TEXT(ROW(B1),"000")</calculatedColumnFormula>
    </tableColumn>
    <tableColumn id="3" name="Désignation" dataDxfId="219"/>
    <tableColumn id="6" name="Fournisseur" dataDxfId="218"/>
    <tableColumn id="4" name="Marque" dataDxfId="217"/>
    <tableColumn id="5" name="Prix de vente" dataDxfId="216"/>
  </tableColumns>
  <tableStyleInfo name="TableStyleMedium2" showFirstColumn="0" showLastColumn="0" showRowStripes="1" showColumnStripes="0"/>
</table>
</file>

<file path=xl/tables/table7.xml><?xml version="1.0" encoding="utf-8"?>
<table xmlns="http://schemas.openxmlformats.org/spreadsheetml/2006/main" id="9" name="CodeCaisse7" displayName="CodeCaisse7" ref="B38:G39" insertRow="1" totalsRowShown="0" headerRowDxfId="215" dataDxfId="214">
  <autoFilter ref="B38:G39"/>
  <tableColumns count="6">
    <tableColumn id="1" name="Code caisse" dataDxfId="213"/>
    <tableColumn id="2" name="Référence produit" dataDxfId="212">
      <calculatedColumnFormula>"PIE"&amp;TEXT(ROW(B1),"000")</calculatedColumnFormula>
    </tableColumn>
    <tableColumn id="3" name="Désignation" dataDxfId="211"/>
    <tableColumn id="6" name="Fournisseur" dataDxfId="210"/>
    <tableColumn id="4" name="Marque" dataDxfId="209"/>
    <tableColumn id="5" name="Prix de vente" dataDxfId="208"/>
  </tableColumns>
  <tableStyleInfo name="TableStyleMedium2" showFirstColumn="0" showLastColumn="0" showRowStripes="1" showColumnStripes="0"/>
</table>
</file>

<file path=xl/tables/table8.xml><?xml version="1.0" encoding="utf-8"?>
<table xmlns="http://schemas.openxmlformats.org/spreadsheetml/2006/main" id="10" name="CodeCaisse8" displayName="CodeCaisse8" ref="B41:G42" insertRow="1" totalsRowShown="0" headerRowDxfId="207" dataDxfId="206">
  <autoFilter ref="B41:G42"/>
  <tableColumns count="6">
    <tableColumn id="1" name="Code caisse" dataDxfId="205"/>
    <tableColumn id="2" name="Référence produit" dataDxfId="204">
      <calculatedColumnFormula>"CHE"&amp;TEXT(ROW(B1),"000")</calculatedColumnFormula>
    </tableColumn>
    <tableColumn id="3" name="Désignation" dataDxfId="203"/>
    <tableColumn id="6" name="Fournisseur" dataDxfId="202"/>
    <tableColumn id="4" name="Marque" dataDxfId="201"/>
    <tableColumn id="5" name="Prix de vente" dataDxfId="200"/>
  </tableColumns>
  <tableStyleInfo name="TableStyleMedium2" showFirstColumn="0" showLastColumn="0" showRowStripes="1" showColumnStripes="0"/>
</table>
</file>

<file path=xl/tables/table9.xml><?xml version="1.0" encoding="utf-8"?>
<table xmlns="http://schemas.openxmlformats.org/spreadsheetml/2006/main" id="11" name="CodeCaisse9" displayName="CodeCaisse9" ref="B44:G45" insertRow="1" totalsRowShown="0" headerRowDxfId="199" dataDxfId="198">
  <autoFilter ref="B44:G45"/>
  <tableColumns count="6">
    <tableColumn id="1" name="Code caisse" dataDxfId="197"/>
    <tableColumn id="2" name="Référence produit" dataDxfId="196">
      <calculatedColumnFormula>"SAC"&amp;TEXT(ROW(B1),"000")</calculatedColumnFormula>
    </tableColumn>
    <tableColumn id="3" name="Désignation" dataDxfId="195"/>
    <tableColumn id="6" name="Fournisseur" dataDxfId="194"/>
    <tableColumn id="4" name="Marque" dataDxfId="193"/>
    <tableColumn id="5" name="Prix de vente" dataDxfId="192"/>
  </tableColumns>
  <tableStyleInfo name="TableStyleMedium2" showFirstColumn="0" showLastColumn="0" showRowStripes="1" showColumnStripes="0"/>
</table>
</file>

<file path=xl/tables/table10.xml><?xml version="1.0" encoding="utf-8"?>
<table xmlns="http://schemas.openxmlformats.org/spreadsheetml/2006/main" id="12" name="CodeCaisse10" displayName="CodeCaisse10" ref="B47:G48" insertRow="1" totalsRowShown="0" headerRowDxfId="191" dataDxfId="190">
  <autoFilter ref="B47:G48"/>
  <tableColumns count="6">
    <tableColumn id="1" name="Code caisse" dataDxfId="189"/>
    <tableColumn id="2" name="Référence produit" dataDxfId="188">
      <calculatedColumnFormula>"VER"&amp;TEXT(ROW(B1),"000")</calculatedColumnFormula>
    </tableColumn>
    <tableColumn id="3" name="Désignation" dataDxfId="187"/>
    <tableColumn id="6" name="Fournisseur" dataDxfId="186"/>
    <tableColumn id="4" name="Marque" dataDxfId="185"/>
    <tableColumn id="5" name="Prix de vente" dataDxfId="184"/>
  </tableColumns>
  <tableStyleInfo name="TableStyleMedium2" showFirstColumn="0" showLastColumn="0" showRowStripes="1" showColumnStripes="0"/>
</table>
</file>

<file path=xl/tables/table11.xml><?xml version="1.0" encoding="utf-8"?>
<table xmlns="http://schemas.openxmlformats.org/spreadsheetml/2006/main" id="13" name="CodeCaisse11" displayName="CodeCaisse11" ref="B50:G51" insertRow="1" totalsRowShown="0" headerRowDxfId="183" dataDxfId="182">
  <autoFilter ref="B50:G51"/>
  <tableColumns count="6">
    <tableColumn id="1" name="Code caisse" dataDxfId="181"/>
    <tableColumn id="2" name="Référence produit" dataDxfId="180">
      <calculatedColumnFormula>"ACO"&amp;TEXT(ROW(B1),"000")</calculatedColumnFormula>
    </tableColumn>
    <tableColumn id="3" name="Désignation" dataDxfId="179"/>
    <tableColumn id="6" name="Fournisseur" dataDxfId="178"/>
    <tableColumn id="4" name="Marque" dataDxfId="177"/>
    <tableColumn id="5" name="Prix de vente" dataDxfId="176"/>
  </tableColumns>
  <tableStyleInfo name="TableStyleMedium2" showFirstColumn="0" showLastColumn="0" showRowStripes="1" showColumnStripes="0"/>
</table>
</file>

<file path=xl/tables/table12.xml><?xml version="1.0" encoding="utf-8"?>
<table xmlns="http://schemas.openxmlformats.org/spreadsheetml/2006/main" id="14" name="CodeCaisse12" displayName="CodeCaisse12" ref="B53:G54" insertRow="1" totalsRowShown="0" headerRowDxfId="175" dataDxfId="174">
  <autoFilter ref="B53:G54"/>
  <tableColumns count="6">
    <tableColumn id="1" name="Code caisse" dataDxfId="173"/>
    <tableColumn id="2" name="Référence produit" dataDxfId="172">
      <calculatedColumnFormula>"TAT"&amp;TEXT(ROW(B1),"000")</calculatedColumnFormula>
    </tableColumn>
    <tableColumn id="3" name="Désignation" dataDxfId="171"/>
    <tableColumn id="6" name="Fournisseur" dataDxfId="170"/>
    <tableColumn id="4" name="Marque" dataDxfId="169"/>
    <tableColumn id="5" name="Prix de vente" dataDxfId="168"/>
  </tableColumns>
  <tableStyleInfo name="TableStyleMedium2" showFirstColumn="0" showLastColumn="0" showRowStripes="1" showColumnStripes="0"/>
</table>
</file>

<file path=xl/tables/table13.xml><?xml version="1.0" encoding="utf-8"?>
<table xmlns="http://schemas.openxmlformats.org/spreadsheetml/2006/main" id="15" name="CodeCaisse13" displayName="CodeCaisse13" ref="B56:G57" insertRow="1" totalsRowShown="0" headerRowDxfId="167" dataDxfId="166">
  <autoFilter ref="B56:G57"/>
  <tableColumns count="6">
    <tableColumn id="1" name="Code caisse" dataDxfId="165"/>
    <tableColumn id="2" name="Référence produit" dataDxfId="164">
      <calculatedColumnFormula>"ACT"&amp;TEXT(ROW(B1),"000")</calculatedColumnFormula>
    </tableColumn>
    <tableColumn id="3" name="Désignation" dataDxfId="163"/>
    <tableColumn id="6" name="Fournisseur" dataDxfId="162"/>
    <tableColumn id="4" name="Marque" dataDxfId="161"/>
    <tableColumn id="5" name="Prix de vente" dataDxfId="160"/>
  </tableColumns>
  <tableStyleInfo name="TableStyleMedium2" showFirstColumn="0" showLastColumn="0" showRowStripes="1" showColumnStripes="0"/>
</table>
</file>

<file path=xl/tables/table14.xml><?xml version="1.0" encoding="utf-8"?>
<table xmlns="http://schemas.openxmlformats.org/spreadsheetml/2006/main" id="16" name="CodeCaisse14" displayName="CodeCaisse14" ref="B59:G60" insertRow="1" totalsRowShown="0" headerRowDxfId="159" dataDxfId="158">
  <autoFilter ref="B59:G60"/>
  <tableColumns count="6">
    <tableColumn id="1" name="Code caisse" dataDxfId="157"/>
    <tableColumn id="2" name="Référence produit" dataDxfId="156">
      <calculatedColumnFormula>"CAD"&amp;TEXT(ROW(B1),"000")</calculatedColumnFormula>
    </tableColumn>
    <tableColumn id="3" name="Désignation" dataDxfId="155"/>
    <tableColumn id="6" name="Fournisseur" dataDxfId="154"/>
    <tableColumn id="4" name="Marque" dataDxfId="153"/>
    <tableColumn id="5" name="Prix de vente" dataDxfId="152"/>
  </tableColumns>
  <tableStyleInfo name="TableStyleMedium2" showFirstColumn="0" showLastColumn="0" showRowStripes="1" showColumnStripes="0"/>
</table>
</file>

<file path=xl/tables/table15.xml><?xml version="1.0" encoding="utf-8"?>
<table xmlns="http://schemas.openxmlformats.org/spreadsheetml/2006/main" id="17" name="CodeCaisse15" displayName="CodeCaisse15" ref="B62:G63" insertRow="1" totalsRowShown="0" headerRowDxfId="151" dataDxfId="150">
  <autoFilter ref="B62:G63"/>
  <tableColumns count="6">
    <tableColumn id="1" name="Code caisse" dataDxfId="149"/>
    <tableColumn id="2" name="Référence produit" dataDxfId="148">
      <calculatedColumnFormula>"TEL"&amp;TEXT(ROW(B1),"000")</calculatedColumnFormula>
    </tableColumn>
    <tableColumn id="3" name="Désignation" dataDxfId="147"/>
    <tableColumn id="6" name="Fournisseur" dataDxfId="146"/>
    <tableColumn id="4" name="Marque" dataDxfId="145"/>
    <tableColumn id="5" name="Prix de vente" dataDxfId="144"/>
  </tableColumns>
  <tableStyleInfo name="TableStyleMedium2" showFirstColumn="0" showLastColumn="0" showRowStripes="1" showColumnStripes="0"/>
</table>
</file>

<file path=xl/tables/table16.xml><?xml version="1.0" encoding="utf-8"?>
<table xmlns="http://schemas.openxmlformats.org/spreadsheetml/2006/main" id="18" name="CodeCaisse16" displayName="CodeCaisse16" ref="B65:G66" insertRow="1" totalsRowShown="0" headerRowDxfId="143" dataDxfId="142">
  <autoFilter ref="B65:G66"/>
  <tableColumns count="6">
    <tableColumn id="1" name="Code caisse" dataDxfId="141"/>
    <tableColumn id="2" name="Référence produit" dataDxfId="140">
      <calculatedColumnFormula>"BAG"&amp;TEXT(ROW(B1),"000")</calculatedColumnFormula>
    </tableColumn>
    <tableColumn id="3" name="Désignation" dataDxfId="139"/>
    <tableColumn id="6" name="Fournisseur" dataDxfId="138"/>
    <tableColumn id="4" name="Marque" dataDxfId="137"/>
    <tableColumn id="5" name="Prix de vente" dataDxfId="136"/>
  </tableColumns>
  <tableStyleInfo name="TableStyleMedium2" showFirstColumn="0" showLastColumn="0" showRowStripes="1" showColumnStripes="0"/>
</table>
</file>

<file path=xl/tables/table17.xml><?xml version="1.0" encoding="utf-8"?>
<table xmlns="http://schemas.openxmlformats.org/spreadsheetml/2006/main" id="19" name="CodeCaisse17" displayName="CodeCaisse17" ref="B68:G69" insertRow="1" totalsRowShown="0" headerRowDxfId="135" dataDxfId="134">
  <autoFilter ref="B68:G69"/>
  <tableColumns count="6">
    <tableColumn id="1" name="Code caisse" dataDxfId="133"/>
    <tableColumn id="2" name="Référence produit" dataDxfId="132">
      <calculatedColumnFormula>"ECH"&amp;TEXT(ROW(B1),"000")</calculatedColumnFormula>
    </tableColumn>
    <tableColumn id="3" name="Désignation" dataDxfId="131"/>
    <tableColumn id="6" name="Fournisseur" dataDxfId="130"/>
    <tableColumn id="4" name="Marque" dataDxfId="129"/>
    <tableColumn id="5" name="Prix de vente" dataDxfId="128"/>
  </tableColumns>
  <tableStyleInfo name="TableStyleMedium2" showFirstColumn="0" showLastColumn="0" showRowStripes="1" showColumnStripes="0"/>
</table>
</file>

<file path=xl/tables/table18.xml><?xml version="1.0" encoding="utf-8"?>
<table xmlns="http://schemas.openxmlformats.org/spreadsheetml/2006/main" id="20" name="CodeCaisse18" displayName="CodeCaisse18" ref="B71:G72" insertRow="1" totalsRowShown="0" headerRowDxfId="127" dataDxfId="126">
  <autoFilter ref="B71:G72"/>
  <tableColumns count="6">
    <tableColumn id="1" name="Code caisse" dataDxfId="125"/>
    <tableColumn id="2" name="Référence produit" dataDxfId="124">
      <calculatedColumnFormula>"CAR"&amp;TEXT(ROW(B1),"000")</calculatedColumnFormula>
    </tableColumn>
    <tableColumn id="3" name="Désignation" dataDxfId="123"/>
    <tableColumn id="6" name="Fournisseur" dataDxfId="122"/>
    <tableColumn id="4" name="Marque" dataDxfId="121"/>
    <tableColumn id="5" name="Prix de vente" dataDxfId="120"/>
  </tableColumns>
  <tableStyleInfo name="TableStyleMedium2" showFirstColumn="0" showLastColumn="0" showRowStripes="1" showColumnStripes="0"/>
</table>
</file>

<file path=xl/tables/table19.xml><?xml version="1.0" encoding="utf-8"?>
<table xmlns="http://schemas.openxmlformats.org/spreadsheetml/2006/main" id="21" name="CodeCaisse19" displayName="CodeCaisse19" ref="B74:G75" insertRow="1" totalsRowShown="0" headerRowDxfId="119" dataDxfId="118">
  <autoFilter ref="B74:G75"/>
  <tableColumns count="6">
    <tableColumn id="1" name="Code caisse" dataDxfId="117"/>
    <tableColumn id="2" name="Référence produit" dataDxfId="116">
      <calculatedColumnFormula>"COS"&amp;TEXT(ROW(B1),"000")</calculatedColumnFormula>
    </tableColumn>
    <tableColumn id="3" name="Désignation" dataDxfId="115"/>
    <tableColumn id="6" name="Fournisseur" dataDxfId="114"/>
    <tableColumn id="4" name="Marque" dataDxfId="113"/>
    <tableColumn id="5" name="Prix de vente" dataDxfId="112"/>
  </tableColumns>
  <tableStyleInfo name="TableStyleMedium2" showFirstColumn="0" showLastColumn="0" showRowStripes="1" showColumnStripes="0"/>
</table>
</file>

<file path=xl/tables/table20.xml><?xml version="1.0" encoding="utf-8"?>
<table xmlns="http://schemas.openxmlformats.org/spreadsheetml/2006/main" id="22" name="fournisseurs" displayName="fournisseurs" ref="C16:G21" totalsRowShown="0" headerRowDxfId="111" dataDxfId="110">
  <autoFilter ref="C16:G21"/>
  <tableColumns count="5">
    <tableColumn id="1" name="Référence" dataDxfId="109">
      <calculatedColumnFormula>"FOUR"&amp;TEXT(ROW(C1),"000")</calculatedColumnFormula>
    </tableColumn>
    <tableColumn id="2" name="Désignation" dataDxfId="108"/>
    <tableColumn id="3" name="Adresse site" dataDxfId="107"/>
    <tableColumn id="4" name="Autre contact" dataDxfId="106"/>
    <tableColumn id="5" name="Commentaires" dataDxfId="105"/>
  </tableColumns>
  <tableStyleInfo name="TableStyleMedium2" showFirstColumn="0" showLastColumn="0" showRowStripes="1" showColumnStripes="0"/>
</table>
</file>

<file path=xl/tables/table21.xml><?xml version="1.0" encoding="utf-8"?>
<table xmlns="http://schemas.openxmlformats.org/spreadsheetml/2006/main" id="1" name="achats" displayName="achats" ref="B19:J26" totalsRowShown="0" headerRowDxfId="104" dataDxfId="103">
  <autoFilter ref="B19:J26"/>
  <tableColumns count="9">
    <tableColumn id="1" name="Date" dataDxfId="102"/>
    <tableColumn id="2" name="Code caisse" dataDxfId="101"/>
    <tableColumn id="3" name="Référence produit" dataDxfId="100"/>
    <tableColumn id="4" name="Désignation" dataDxfId="99"/>
    <tableColumn id="9" name="Marque" dataDxfId="98"/>
    <tableColumn id="5" name="Quantité" dataDxfId="97"/>
    <tableColumn id="6" name="Prix d'achat unitaire" dataDxfId="96"/>
    <tableColumn id="7" name="Prix de vente unitaire" dataDxfId="95"/>
    <tableColumn id="8" name="Commentaires" dataDxfId="94"/>
  </tableColumns>
  <tableStyleInfo name="TableStyleMedium2" showFirstColumn="0" showLastColumn="0" showRowStripes="1" showColumnStripes="0"/>
</table>
</file>

<file path=xl/tables/table22.xml><?xml version="1.0" encoding="utf-8"?>
<table xmlns="http://schemas.openxmlformats.org/spreadsheetml/2006/main" id="24" name="ventes" displayName="ventes" ref="B17:O29" totalsRowShown="0" headerRowDxfId="93" dataDxfId="92">
  <autoFilter ref="B17:O29"/>
  <tableColumns count="14">
    <tableColumn id="1" name="Date" dataDxfId="91"/>
    <tableColumn id="10" name="Nature opération" dataDxfId="90"/>
    <tableColumn id="2" name="Code caisse" dataDxfId="89"/>
    <tableColumn id="3" name="Référence produit" dataDxfId="88"/>
    <tableColumn id="4" name="Désignation" dataDxfId="87"/>
    <tableColumn id="12" name="Marque" dataDxfId="86"/>
    <tableColumn id="5" name="Quantité" dataDxfId="85"/>
    <tableColumn id="9" name="Prix de vente unitaire" dataDxfId="84"/>
    <tableColumn id="11" name="Soldes" dataDxfId="83"/>
    <tableColumn id="6" name="Total" dataDxfId="82">
      <calculatedColumnFormula>ventes[[#This Row],[Quantité]]*ventes[[#This Row],[Prix de vente unitaire]]</calculatedColumnFormula>
    </tableColumn>
    <tableColumn id="7" name="Mode paiement" dataDxfId="81"/>
    <tableColumn id="8" name="Commentaires" dataDxfId="80"/>
    <tableColumn id="13" name="Mois" dataDxfId="79">
      <calculatedColumnFormula>TEXT(30*MONTH(ventes[[#This Row],[Date]]), "mmmm")</calculatedColumnFormula>
    </tableColumn>
    <tableColumn id="14" name="Année" dataDxfId="78">
      <calculatedColumnFormula>TEXT(ventes[[#This Row],[Date]],"AAAA")</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3" name="Table1" displayName="Table1" ref="A1:D4" totalsRowShown="0" headerRowDxfId="77" dataDxfId="76">
  <autoFilter ref="A1:D4"/>
  <tableColumns count="4">
    <tableColumn id="1" name="Colonne1" dataDxfId="75"/>
    <tableColumn id="2" name="Colonne2" dataDxfId="74"/>
    <tableColumn id="3" name="Colonne3" dataDxfId="73"/>
    <tableColumn id="4" name="Colonne4" dataDxfId="72"/>
  </tableColumns>
  <tableStyleInfo name="TableStyleMedium2" showFirstColumn="0" showLastColumn="0" showRowStripes="1" showColumnStripes="0"/>
</table>
</file>

<file path=xl/tables/table24.xml><?xml version="1.0" encoding="utf-8"?>
<table xmlns="http://schemas.openxmlformats.org/spreadsheetml/2006/main" id="27" name="Stocks" displayName="Stocks" ref="B17:I22" totalsRowShown="0" headerRowDxfId="71" dataDxfId="70" tableBorderDxfId="69">
  <autoFilter ref="B17:I22"/>
  <tableColumns count="8">
    <tableColumn id="1" name="Code caisse" dataDxfId="68"/>
    <tableColumn id="2" name="Référence produit" dataDxfId="67"/>
    <tableColumn id="3" name="Désignation" dataDxfId="66"/>
    <tableColumn id="9" name="Marque" dataDxfId="65"/>
    <tableColumn id="4" name="Quantité" dataDxfId="64"/>
    <tableColumn id="10" name="Coût d'achat unitaire (PEPS)" dataDxfId="63"/>
    <tableColumn id="5" name="Coût du stock" dataDxfId="62">
      <calculatedColumnFormula>Stocks[[#This Row],[Quantité]]*Stocks[[#This Row],[Coût d''achat unitaire (PEPS)]]</calculatedColumnFormula>
    </tableColumn>
    <tableColumn id="6" name="Valeur à la vente" dataDxfId="61">
      <calculatedColumnFormula>VLOOKUP(D18,ZoneProduits,4,FALSE)*Stocks[[#This Row],[Quantité]]</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FraisExploitation" displayName="FraisExploitation" ref="G38:J50" totalsRowCount="1" headerRowDxfId="39" dataDxfId="37" totalsRowDxfId="38">
  <autoFilter ref="G38:J49"/>
  <sortState ref="G31:K51">
    <sortCondition ref="G16:G37"/>
  </sortState>
  <tableColumns count="4">
    <tableColumn id="1" name="FRAIS D’EXPLOITATION" totalsRowLabel="Total" dataDxfId="43" totalsRowDxfId="7"/>
    <tableColumn id="2" name="ESTIMÉ" totalsRowFunction="sum" dataDxfId="42" totalsRowDxfId="6"/>
    <tableColumn id="3" name="REEL" totalsRowFunction="sum" dataDxfId="41" totalsRowDxfId="5"/>
    <tableColumn id="4" name="DIFFÉRENCE" totalsRowFunction="sum" dataDxfId="40" totalsRowDxfId="4"/>
  </tableColumns>
  <tableStyleInfo name="Monthly Budget"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26.xml><?xml version="1.0" encoding="utf-8"?>
<table xmlns="http://schemas.openxmlformats.org/spreadsheetml/2006/main" id="26" name="Revenus" displayName="Revenus" ref="G22:J32" totalsRowCount="1" headerRowDxfId="32" dataDxfId="30" totalsRowDxfId="31">
  <autoFilter ref="G22:J31"/>
  <tableColumns count="4">
    <tableColumn id="1" name="REVENUS" totalsRowLabel="Total" dataDxfId="36" totalsRowDxfId="3"/>
    <tableColumn id="2" name="ESTIMÉ" totalsRowFunction="sum" dataDxfId="35" totalsRowDxfId="2"/>
    <tableColumn id="3" name="REEL" totalsRowFunction="sum" dataDxfId="34" totalsRowDxfId="1"/>
    <tableColumn id="4" name="DIFFÉRENCE" totalsRowFunction="sum" dataDxfId="33" totalsRowDxfId="0"/>
  </tableColumns>
  <tableStyleInfo name="Monthly Budget" showFirstColumn="0" showLastColumn="0" showRowStripes="0" showColumnStripes="0"/>
  <extLst>
    <ext xmlns:x14="http://schemas.microsoft.com/office/spreadsheetml/2009/9/main" uri="{504A1905-F514-4f6f-8877-14C23A59335A}">
      <x14:table altText="Tableau Revenus" altTextSummary="Liste des sources de revenus pour les valeurs réelles et estimées avec la différence calculée."/>
    </ext>
  </extLst>
</table>
</file>

<file path=xl/tables/table27.xml><?xml version="1.0" encoding="utf-8"?>
<table xmlns="http://schemas.openxmlformats.org/spreadsheetml/2006/main" id="28" name="TableauTotaux" displayName="TableauTotaux" ref="B22:E25" totalsRowCount="1" headerRowDxfId="21" dataDxfId="19" totalsRowDxfId="20">
  <autoFilter ref="B22:E24"/>
  <tableColumns count="4">
    <tableColumn id="1" name="TOTAUX DU BUDGET" totalsRowLabel="Solde (revenus moins dépenses)" dataDxfId="29" totalsRowDxfId="28"/>
    <tableColumn id="2" name="ESTIMÉ" totalsRowFunction="custom" dataDxfId="27" totalsRowDxfId="26">
      <totalsRowFormula>C23-C24</totalsRowFormula>
    </tableColumn>
    <tableColumn id="3" name="RÉEL" totalsRowFunction="custom" dataDxfId="25" totalsRowDxfId="24">
      <totalsRowFormula>D23-D24</totalsRowFormula>
    </tableColumn>
    <tableColumn id="4" name="DIFFÉRENCE" totalsRowFunction="sum" dataDxfId="23" totalsRowDxfId="22"/>
  </tableColumns>
  <tableStyleInfo name="Monthly Budget" showFirstColumn="0" showLastColumn="1" showRowStripes="0" showColumnStripes="0"/>
  <extLst>
    <ext xmlns:x14="http://schemas.microsoft.com/office/spreadsheetml/2009/9/main" uri="{504A1905-F514-4f6f-8877-14C23A59335A}">
      <x14:table altText="Tableau Totaux du budget" altTextSummary="Tableau qui additionne le total des dépenses et des revenus réels et estimés provenant des autres tableaux de la feuille de calcul, puis qui calcule la différence et indique le solde (revenus moins les dépenses)"/>
    </ext>
  </extLst>
</table>
</file>

<file path=xl/tables/table28.xml><?xml version="1.0" encoding="utf-8"?>
<table xmlns="http://schemas.openxmlformats.org/spreadsheetml/2006/main" id="30" name="DépensesPersonnelles" displayName="DépensesPersonnelles" ref="G34:J36" totalsRowCount="1" headerRowDxfId="14" dataDxfId="12" totalsRowDxfId="13">
  <autoFilter ref="G34:J35"/>
  <tableColumns count="4">
    <tableColumn id="1" name="CHARGES DE PERSONNEL" totalsRowLabel="Personnel total" dataDxfId="18" totalsRowDxfId="11"/>
    <tableColumn id="2" name="ESTIMÉ" totalsRowFunction="sum" dataDxfId="17" totalsRowDxfId="10"/>
    <tableColumn id="3" name="REEL" totalsRowFunction="sum" dataDxfId="16" totalsRowDxfId="9"/>
    <tableColumn id="5" name="DIFFÉRENCE" totalsRowFunction="sum" dataDxfId="15" totalsRowDxfId="8"/>
  </tableColumns>
  <tableStyleInfo name="Monthly Budget" showFirstColumn="0" showLastColumn="0" showRowStripes="0" showColumnStripes="0"/>
  <extLst>
    <ext xmlns:x14="http://schemas.microsoft.com/office/spreadsheetml/2009/9/main" uri="{504A1905-F514-4f6f-8877-14C23A59335A}">
      <x14:table altText="Tableau Dépenses personnelles" altTextSummary="Liste des dépenses personnelles pour les valeurs réelles et estimées avec la différence calculée."/>
    </ext>
  </extLst>
</table>
</file>

<file path=xl/tables/table29.xml><?xml version="1.0" encoding="utf-8"?>
<table xmlns="http://schemas.openxmlformats.org/spreadsheetml/2006/main" id="23" name="Tableau23" displayName="Tableau23" ref="B21:D36" totalsRowShown="0" headerRowDxfId="57">
  <autoFilter ref="B21:D36"/>
  <tableColumns count="3">
    <tableColumn id="4" name="Nombre" dataDxfId="56"/>
    <tableColumn id="1" name="€" dataDxfId="55"/>
    <tableColumn id="2" name="Total" dataDxfId="54">
      <calculatedColumnFormula>Tableau23[[#This Row],[Nombre]]*Tableau23[[#This Row],[€]]</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29" name="historique" displayName="historique" ref="B13:I21" totalsRowShown="0" headerRowDxfId="53" dataDxfId="52">
  <autoFilter ref="B13:I21"/>
  <tableColumns count="8">
    <tableColumn id="1" name="Date" dataDxfId="51"/>
    <tableColumn id="2" name="Météo" dataDxfId="50"/>
    <tableColumn id="3" name="Fond de caisse fin de journée" dataDxfId="49"/>
    <tableColumn id="4" name="Nombre de chèques" dataDxfId="48"/>
    <tableColumn id="5" name="Total chèques" dataDxfId="47"/>
    <tableColumn id="6" name="CA journée" dataDxfId="46"/>
    <tableColumn id="7" name="CA cumulé" dataDxfId="45">
      <calculatedColumnFormula>IF(ISERROR(H13+G14),G14,H13+G14)</calculatedColumnFormula>
    </tableColumn>
    <tableColumn id="8" name="Commentaires" dataDxfId="44"/>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Personnalisé 2">
      <a:dk1>
        <a:sysClr val="windowText" lastClr="000000"/>
      </a:dk1>
      <a:lt1>
        <a:sysClr val="window" lastClr="FFFFFF"/>
      </a:lt1>
      <a:dk2>
        <a:srgbClr val="1F497D"/>
      </a:dk2>
      <a:lt2>
        <a:srgbClr val="EEECE1"/>
      </a:lt2>
      <a:accent1>
        <a:srgbClr val="5F0060"/>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3" Type="http://schemas.openxmlformats.org/officeDocument/2006/relationships/table" Target="../tables/table1.xml"/><Relationship Id="rId21" Type="http://schemas.openxmlformats.org/officeDocument/2006/relationships/table" Target="../tables/table19.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 Type="http://schemas.openxmlformats.org/officeDocument/2006/relationships/drawing" Target="../drawings/drawing2.xml"/><Relationship Id="rId16" Type="http://schemas.openxmlformats.org/officeDocument/2006/relationships/table" Target="../tables/table14.xml"/><Relationship Id="rId20" Type="http://schemas.openxmlformats.org/officeDocument/2006/relationships/table" Target="../tables/table18.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5" Type="http://schemas.openxmlformats.org/officeDocument/2006/relationships/table" Target="../tables/table13.xml"/><Relationship Id="rId10" Type="http://schemas.openxmlformats.org/officeDocument/2006/relationships/table" Target="../tables/table8.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table" Target="../tables/table2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25.xml"/><Relationship Id="rId7" Type="http://schemas.microsoft.com/office/2007/relationships/slicer" Target="../slicers/slicer1.xml"/><Relationship Id="rId2" Type="http://schemas.openxmlformats.org/officeDocument/2006/relationships/drawing" Target="../drawings/drawing8.xml"/><Relationship Id="rId1" Type="http://schemas.openxmlformats.org/officeDocument/2006/relationships/printerSettings" Target="../printerSettings/printerSettings4.bin"/><Relationship Id="rId6" Type="http://schemas.openxmlformats.org/officeDocument/2006/relationships/table" Target="../tables/table28.xml"/><Relationship Id="rId5" Type="http://schemas.openxmlformats.org/officeDocument/2006/relationships/table" Target="../tables/table27.xml"/><Relationship Id="rId4" Type="http://schemas.openxmlformats.org/officeDocument/2006/relationships/table" Target="../tables/table2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5.bin"/><Relationship Id="rId5" Type="http://schemas.openxmlformats.org/officeDocument/2006/relationships/table" Target="../tables/table29.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11.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J5"/>
  <sheetViews>
    <sheetView showGridLines="0" workbookViewId="0"/>
  </sheetViews>
  <sheetFormatPr baseColWidth="10" defaultRowHeight="15" x14ac:dyDescent="0.25"/>
  <sheetData>
    <row r="5" spans="10:10" ht="23.25" x14ac:dyDescent="0.35">
      <c r="J5" s="2" t="s">
        <v>30</v>
      </c>
    </row>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B7:G74"/>
  <sheetViews>
    <sheetView showGridLines="0" workbookViewId="0"/>
  </sheetViews>
  <sheetFormatPr baseColWidth="10" defaultRowHeight="15" x14ac:dyDescent="0.25"/>
  <cols>
    <col min="1" max="1" width="11.42578125" style="6"/>
    <col min="2" max="2" width="21" style="26" bestFit="1" customWidth="1"/>
    <col min="3" max="3" width="22.5703125" style="6" customWidth="1"/>
    <col min="4" max="4" width="34.42578125" style="3" customWidth="1"/>
    <col min="5" max="5" width="15" style="6" bestFit="1" customWidth="1"/>
    <col min="6" max="6" width="18.5703125" style="6" customWidth="1"/>
    <col min="7" max="7" width="15" style="23" bestFit="1" customWidth="1"/>
    <col min="8" max="8" width="11.5703125" style="6" customWidth="1"/>
    <col min="9" max="10" width="12.5703125" style="6" customWidth="1"/>
    <col min="11" max="16384" width="11.42578125" style="6"/>
  </cols>
  <sheetData>
    <row r="7" spans="2:7" ht="23.25" x14ac:dyDescent="0.35">
      <c r="E7" s="59" t="s">
        <v>34</v>
      </c>
      <c r="F7" s="59"/>
      <c r="G7" s="38"/>
    </row>
    <row r="8" spans="2:7" ht="23.25" x14ac:dyDescent="0.35">
      <c r="E8" s="5"/>
    </row>
    <row r="9" spans="2:7" ht="23.25" x14ac:dyDescent="0.35">
      <c r="E9" s="5"/>
    </row>
    <row r="10" spans="2:7" ht="23.25" x14ac:dyDescent="0.35">
      <c r="E10" s="5"/>
    </row>
    <row r="11" spans="2:7" ht="23.25" x14ac:dyDescent="0.35">
      <c r="E11" s="5"/>
    </row>
    <row r="14" spans="2:7" x14ac:dyDescent="0.25">
      <c r="B14" s="27" t="str">
        <f>'Code caisse'!$B$3</f>
        <v>Bonbons</v>
      </c>
      <c r="C14" s="28" t="str">
        <f xml:space="preserve"> "Code caisse :"</f>
        <v>Code caisse :</v>
      </c>
      <c r="D14" s="4">
        <f>'Code caisse'!$A$3</f>
        <v>1</v>
      </c>
    </row>
    <row r="15" spans="2:7" x14ac:dyDescent="0.25">
      <c r="B15" s="26" t="s">
        <v>9</v>
      </c>
      <c r="C15" s="6" t="s">
        <v>0</v>
      </c>
      <c r="D15" s="3" t="s">
        <v>1</v>
      </c>
      <c r="E15" s="6" t="s">
        <v>3</v>
      </c>
      <c r="F15" s="6" t="s">
        <v>8</v>
      </c>
      <c r="G15" s="23" t="s">
        <v>2</v>
      </c>
    </row>
    <row r="16" spans="2:7" x14ac:dyDescent="0.25">
      <c r="B16" s="26">
        <v>1</v>
      </c>
      <c r="C16" s="6" t="str">
        <f>"BON"&amp;TEXT(ROW(B1),"000")</f>
        <v>BON001</v>
      </c>
      <c r="D16" s="3" t="s">
        <v>118</v>
      </c>
      <c r="E16" s="6" t="s">
        <v>119</v>
      </c>
      <c r="F16" s="6" t="s">
        <v>120</v>
      </c>
      <c r="G16" s="23">
        <v>0.12</v>
      </c>
    </row>
    <row r="17" spans="2:7" x14ac:dyDescent="0.25">
      <c r="B17" s="26">
        <v>1</v>
      </c>
      <c r="C17" s="6" t="str">
        <f>"BON"&amp;TEXT(ROW(B2),"000")</f>
        <v>BON002</v>
      </c>
      <c r="D17" s="3" t="s">
        <v>121</v>
      </c>
      <c r="E17" s="6" t="s">
        <v>119</v>
      </c>
      <c r="F17" s="6" t="s">
        <v>122</v>
      </c>
      <c r="G17" s="23">
        <v>0.15</v>
      </c>
    </row>
    <row r="18" spans="2:7" x14ac:dyDescent="0.25">
      <c r="B18" s="26">
        <v>1</v>
      </c>
      <c r="C18" s="6" t="str">
        <f>"BON"&amp;TEXT(ROW(B3),"000")</f>
        <v>BON003</v>
      </c>
      <c r="D18" s="3" t="s">
        <v>123</v>
      </c>
      <c r="E18" s="6" t="s">
        <v>124</v>
      </c>
      <c r="F18" s="6" t="s">
        <v>125</v>
      </c>
      <c r="G18" s="23">
        <v>0.12</v>
      </c>
    </row>
    <row r="19" spans="2:7" x14ac:dyDescent="0.25">
      <c r="B19" s="26">
        <v>1</v>
      </c>
      <c r="C19" s="6" t="str">
        <f>"BON"&amp;TEXT(ROW(B4),"000")</f>
        <v>BON004</v>
      </c>
      <c r="D19" s="3" t="s">
        <v>164</v>
      </c>
      <c r="E19" s="6" t="s">
        <v>119</v>
      </c>
      <c r="G19" s="23">
        <v>0.19</v>
      </c>
    </row>
    <row r="20" spans="2:7" x14ac:dyDescent="0.25">
      <c r="B20" s="27" t="str">
        <f>'Code caisse'!$B$4</f>
        <v>Boucles d'oreilles</v>
      </c>
      <c r="C20" s="28" t="str">
        <f xml:space="preserve"> "Code caisse :"</f>
        <v>Code caisse :</v>
      </c>
      <c r="D20" s="4">
        <f>'Code caisse'!$A$4</f>
        <v>2</v>
      </c>
    </row>
    <row r="21" spans="2:7" x14ac:dyDescent="0.25">
      <c r="B21" s="26" t="s">
        <v>9</v>
      </c>
      <c r="C21" s="6" t="s">
        <v>0</v>
      </c>
      <c r="D21" s="3" t="s">
        <v>1</v>
      </c>
      <c r="E21" s="6" t="s">
        <v>3</v>
      </c>
      <c r="F21" s="6" t="s">
        <v>8</v>
      </c>
      <c r="G21" s="23" t="s">
        <v>2</v>
      </c>
    </row>
    <row r="22" spans="2:7" x14ac:dyDescent="0.25">
      <c r="B22" s="26">
        <v>2</v>
      </c>
      <c r="C22" s="3" t="str">
        <f>"BOU"&amp;TEXT(ROW(B1),"000")</f>
        <v>BOU001</v>
      </c>
      <c r="D22" s="3" t="s">
        <v>126</v>
      </c>
      <c r="E22" s="6" t="s">
        <v>127</v>
      </c>
      <c r="F22" s="6" t="s">
        <v>128</v>
      </c>
      <c r="G22" s="23">
        <v>12</v>
      </c>
    </row>
    <row r="23" spans="2:7" x14ac:dyDescent="0.25">
      <c r="B23" s="26">
        <v>2</v>
      </c>
      <c r="C23" s="3" t="str">
        <f>"BOU"&amp;TEXT(ROW(B2),"000")</f>
        <v>BOU002</v>
      </c>
      <c r="D23" s="3" t="s">
        <v>129</v>
      </c>
      <c r="E23" s="6" t="s">
        <v>127</v>
      </c>
      <c r="F23" s="6" t="s">
        <v>130</v>
      </c>
      <c r="G23" s="23">
        <v>2.2999999999999998</v>
      </c>
    </row>
    <row r="24" spans="2:7" x14ac:dyDescent="0.25">
      <c r="B24" s="26">
        <v>2</v>
      </c>
      <c r="C24" s="3" t="str">
        <f>"BOU"&amp;TEXT(ROW(B3),"000")</f>
        <v>BOU003</v>
      </c>
      <c r="D24" s="3" t="s">
        <v>162</v>
      </c>
      <c r="E24" s="6" t="s">
        <v>127</v>
      </c>
      <c r="F24" s="6" t="s">
        <v>163</v>
      </c>
      <c r="G24" s="23">
        <v>10</v>
      </c>
    </row>
    <row r="25" spans="2:7" x14ac:dyDescent="0.25">
      <c r="B25" s="27" t="str">
        <f>'Code caisse'!$B$5</f>
        <v>Colliers</v>
      </c>
      <c r="C25" s="28" t="str">
        <f xml:space="preserve"> "Code caisse :"</f>
        <v>Code caisse :</v>
      </c>
      <c r="D25" s="4">
        <f>'Code caisse'!$A$5</f>
        <v>3</v>
      </c>
    </row>
    <row r="26" spans="2:7" x14ac:dyDescent="0.25">
      <c r="B26" s="26" t="s">
        <v>9</v>
      </c>
      <c r="C26" s="6" t="s">
        <v>0</v>
      </c>
      <c r="D26" s="3" t="s">
        <v>1</v>
      </c>
      <c r="E26" s="6" t="s">
        <v>3</v>
      </c>
      <c r="F26" s="6" t="s">
        <v>8</v>
      </c>
      <c r="G26" s="23" t="s">
        <v>2</v>
      </c>
    </row>
    <row r="27" spans="2:7" x14ac:dyDescent="0.25">
      <c r="B27" s="26">
        <v>3</v>
      </c>
      <c r="C27" s="3" t="str">
        <f>"COL"&amp;TEXT(ROW(B1),"000")</f>
        <v>COL001</v>
      </c>
      <c r="D27" s="3" t="s">
        <v>131</v>
      </c>
      <c r="E27" s="6" t="s">
        <v>127</v>
      </c>
      <c r="F27" s="6" t="s">
        <v>132</v>
      </c>
      <c r="G27" s="23">
        <v>10.5</v>
      </c>
    </row>
    <row r="28" spans="2:7" x14ac:dyDescent="0.25">
      <c r="B28" s="27" t="str">
        <f>'Code caisse'!$B$6</f>
        <v>Parrures</v>
      </c>
      <c r="C28" s="28" t="str">
        <f xml:space="preserve"> "Code caisse :"</f>
        <v>Code caisse :</v>
      </c>
      <c r="D28" s="4">
        <f>'Code caisse'!$A$6</f>
        <v>4</v>
      </c>
    </row>
    <row r="29" spans="2:7" x14ac:dyDescent="0.25">
      <c r="B29" s="26" t="s">
        <v>9</v>
      </c>
      <c r="C29" s="6" t="s">
        <v>0</v>
      </c>
      <c r="D29" s="3" t="s">
        <v>1</v>
      </c>
      <c r="E29" s="6" t="s">
        <v>3</v>
      </c>
      <c r="F29" s="6" t="s">
        <v>8</v>
      </c>
      <c r="G29" s="23" t="s">
        <v>2</v>
      </c>
    </row>
    <row r="30" spans="2:7" x14ac:dyDescent="0.25">
      <c r="B30" s="26">
        <v>4</v>
      </c>
      <c r="C30" s="3" t="str">
        <f>"PAR"&amp;TEXT(ROW(B1),"000")</f>
        <v>PAR001</v>
      </c>
      <c r="D30" s="3" t="s">
        <v>133</v>
      </c>
      <c r="E30" s="6" t="s">
        <v>127</v>
      </c>
      <c r="F30" s="6" t="s">
        <v>134</v>
      </c>
      <c r="G30" s="23">
        <v>40</v>
      </c>
    </row>
    <row r="31" spans="2:7" x14ac:dyDescent="0.25">
      <c r="B31" s="27" t="str">
        <f>'Code caisse'!$B$7</f>
        <v>Bracelets</v>
      </c>
      <c r="C31" s="28" t="str">
        <f xml:space="preserve"> "Code caisse :"</f>
        <v>Code caisse :</v>
      </c>
      <c r="D31" s="4">
        <f>'Code caisse'!$A$7</f>
        <v>5</v>
      </c>
    </row>
    <row r="32" spans="2:7" x14ac:dyDescent="0.25">
      <c r="B32" s="26" t="s">
        <v>9</v>
      </c>
      <c r="C32" s="6" t="s">
        <v>0</v>
      </c>
      <c r="D32" s="3" t="s">
        <v>1</v>
      </c>
      <c r="E32" s="6" t="s">
        <v>3</v>
      </c>
      <c r="F32" s="6" t="s">
        <v>8</v>
      </c>
      <c r="G32" s="23" t="s">
        <v>2</v>
      </c>
    </row>
    <row r="33" spans="2:7" x14ac:dyDescent="0.25">
      <c r="C33" s="3"/>
    </row>
    <row r="34" spans="2:7" x14ac:dyDescent="0.25">
      <c r="B34" s="27" t="str">
        <f>'Code caisse'!$B$8</f>
        <v>Clous d'oreilles</v>
      </c>
      <c r="C34" s="28" t="str">
        <f xml:space="preserve"> "Code caisse :"</f>
        <v>Code caisse :</v>
      </c>
      <c r="D34" s="4">
        <f>'Code caisse'!$A$8</f>
        <v>6</v>
      </c>
    </row>
    <row r="35" spans="2:7" x14ac:dyDescent="0.25">
      <c r="B35" s="26" t="s">
        <v>9</v>
      </c>
      <c r="C35" s="6" t="s">
        <v>0</v>
      </c>
      <c r="D35" s="3" t="s">
        <v>1</v>
      </c>
      <c r="E35" s="6" t="s">
        <v>3</v>
      </c>
      <c r="F35" s="6" t="s">
        <v>8</v>
      </c>
      <c r="G35" s="23" t="s">
        <v>2</v>
      </c>
    </row>
    <row r="37" spans="2:7" x14ac:dyDescent="0.25">
      <c r="B37" s="27" t="str">
        <f>'Code caisse'!$B$9</f>
        <v>Piercings</v>
      </c>
      <c r="C37" s="28" t="str">
        <f xml:space="preserve"> "Code caisse :"</f>
        <v>Code caisse :</v>
      </c>
      <c r="D37" s="4">
        <f>'Code caisse'!$A$9</f>
        <v>7</v>
      </c>
    </row>
    <row r="38" spans="2:7" x14ac:dyDescent="0.25">
      <c r="B38" s="26" t="s">
        <v>9</v>
      </c>
      <c r="C38" s="6" t="s">
        <v>0</v>
      </c>
      <c r="D38" s="3" t="s">
        <v>1</v>
      </c>
      <c r="E38" s="6" t="s">
        <v>3</v>
      </c>
      <c r="F38" s="6" t="s">
        <v>8</v>
      </c>
      <c r="G38" s="23" t="s">
        <v>2</v>
      </c>
    </row>
    <row r="40" spans="2:7" x14ac:dyDescent="0.25">
      <c r="B40" s="27" t="str">
        <f>'Code caisse'!$B$10</f>
        <v>Chainettes chevilles</v>
      </c>
      <c r="C40" s="28" t="str">
        <f xml:space="preserve"> "Code caisse :"</f>
        <v>Code caisse :</v>
      </c>
      <c r="D40" s="4">
        <f>'Code caisse'!$A$10</f>
        <v>8</v>
      </c>
    </row>
    <row r="41" spans="2:7" x14ac:dyDescent="0.25">
      <c r="B41" s="26" t="s">
        <v>9</v>
      </c>
      <c r="C41" s="6" t="s">
        <v>0</v>
      </c>
      <c r="D41" s="3" t="s">
        <v>1</v>
      </c>
      <c r="E41" s="6" t="s">
        <v>3</v>
      </c>
      <c r="F41" s="6" t="s">
        <v>8</v>
      </c>
      <c r="G41" s="23" t="s">
        <v>2</v>
      </c>
    </row>
    <row r="43" spans="2:7" x14ac:dyDescent="0.25">
      <c r="B43" s="27" t="str">
        <f>'Code caisse'!$B$11</f>
        <v>Bijoux de sac</v>
      </c>
      <c r="C43" s="28" t="str">
        <f xml:space="preserve"> "Code caisse :"</f>
        <v>Code caisse :</v>
      </c>
      <c r="D43" s="4">
        <f>'Code caisse'!$A$11</f>
        <v>9</v>
      </c>
    </row>
    <row r="44" spans="2:7" x14ac:dyDescent="0.25">
      <c r="B44" s="26" t="s">
        <v>9</v>
      </c>
      <c r="C44" s="6" t="s">
        <v>0</v>
      </c>
      <c r="D44" s="3" t="s">
        <v>1</v>
      </c>
      <c r="E44" s="6" t="s">
        <v>3</v>
      </c>
      <c r="F44" s="6" t="s">
        <v>8</v>
      </c>
      <c r="G44" s="23" t="s">
        <v>2</v>
      </c>
    </row>
    <row r="46" spans="2:7" x14ac:dyDescent="0.25">
      <c r="B46" s="27" t="str">
        <f>'Code caisse'!$B$12</f>
        <v>Vernis</v>
      </c>
      <c r="C46" s="28" t="str">
        <f xml:space="preserve"> "Code caisse :"</f>
        <v>Code caisse :</v>
      </c>
      <c r="D46" s="4">
        <f>'Code caisse'!$A$12</f>
        <v>10</v>
      </c>
    </row>
    <row r="47" spans="2:7" x14ac:dyDescent="0.25">
      <c r="B47" s="26" t="s">
        <v>9</v>
      </c>
      <c r="C47" s="6" t="s">
        <v>0</v>
      </c>
      <c r="D47" s="3" t="s">
        <v>1</v>
      </c>
      <c r="E47" s="6" t="s">
        <v>3</v>
      </c>
      <c r="F47" s="6" t="s">
        <v>8</v>
      </c>
      <c r="G47" s="23" t="s">
        <v>2</v>
      </c>
    </row>
    <row r="49" spans="2:7" x14ac:dyDescent="0.25">
      <c r="B49" s="27" t="str">
        <f>'Code caisse'!$B$13</f>
        <v>Accessoires Ongles</v>
      </c>
      <c r="C49" s="28" t="str">
        <f xml:space="preserve"> "Code caisse :"</f>
        <v>Code caisse :</v>
      </c>
      <c r="D49" s="4">
        <f>'Code caisse'!$A$13</f>
        <v>11</v>
      </c>
    </row>
    <row r="50" spans="2:7" x14ac:dyDescent="0.25">
      <c r="B50" s="26" t="s">
        <v>9</v>
      </c>
      <c r="C50" s="6" t="s">
        <v>0</v>
      </c>
      <c r="D50" s="3" t="s">
        <v>1</v>
      </c>
      <c r="E50" s="6" t="s">
        <v>3</v>
      </c>
      <c r="F50" s="6" t="s">
        <v>8</v>
      </c>
      <c r="G50" s="23" t="s">
        <v>2</v>
      </c>
    </row>
    <row r="52" spans="2:7" x14ac:dyDescent="0.25">
      <c r="B52" s="27" t="str">
        <f>'Code caisse'!$B$14</f>
        <v xml:space="preserve">Tatoos </v>
      </c>
      <c r="C52" s="28" t="str">
        <f xml:space="preserve"> "Code caisse :"</f>
        <v>Code caisse :</v>
      </c>
      <c r="D52" s="4">
        <f>'Code caisse'!$A$14</f>
        <v>12</v>
      </c>
    </row>
    <row r="53" spans="2:7" x14ac:dyDescent="0.25">
      <c r="B53" s="26" t="s">
        <v>9</v>
      </c>
      <c r="C53" s="6" t="s">
        <v>0</v>
      </c>
      <c r="D53" s="3" t="s">
        <v>1</v>
      </c>
      <c r="E53" s="6" t="s">
        <v>3</v>
      </c>
      <c r="F53" s="6" t="s">
        <v>8</v>
      </c>
      <c r="G53" s="23" t="s">
        <v>2</v>
      </c>
    </row>
    <row r="55" spans="2:7" x14ac:dyDescent="0.25">
      <c r="B55" s="27" t="str">
        <f>'Code caisse'!$B$15</f>
        <v>Accessoires Tatoos</v>
      </c>
      <c r="C55" s="28" t="str">
        <f xml:space="preserve"> "Code caisse :"</f>
        <v>Code caisse :</v>
      </c>
      <c r="D55" s="4">
        <f>'Code caisse'!$A$15</f>
        <v>13</v>
      </c>
    </row>
    <row r="56" spans="2:7" x14ac:dyDescent="0.25">
      <c r="B56" s="26" t="s">
        <v>9</v>
      </c>
      <c r="C56" s="6" t="s">
        <v>0</v>
      </c>
      <c r="D56" s="3" t="s">
        <v>1</v>
      </c>
      <c r="E56" s="6" t="s">
        <v>3</v>
      </c>
      <c r="F56" s="6" t="s">
        <v>8</v>
      </c>
      <c r="G56" s="23" t="s">
        <v>2</v>
      </c>
    </row>
    <row r="58" spans="2:7" x14ac:dyDescent="0.25">
      <c r="B58" s="27" t="str">
        <f>'Code caisse'!$B$16</f>
        <v>Cadeaux</v>
      </c>
      <c r="C58" s="28" t="str">
        <f xml:space="preserve"> "Code caisse :"</f>
        <v>Code caisse :</v>
      </c>
      <c r="D58" s="4">
        <f>'Code caisse'!$A$16</f>
        <v>14</v>
      </c>
    </row>
    <row r="59" spans="2:7" x14ac:dyDescent="0.25">
      <c r="B59" s="26" t="s">
        <v>9</v>
      </c>
      <c r="C59" s="6" t="s">
        <v>0</v>
      </c>
      <c r="D59" s="3" t="s">
        <v>1</v>
      </c>
      <c r="E59" s="6" t="s">
        <v>3</v>
      </c>
      <c r="F59" s="6" t="s">
        <v>8</v>
      </c>
      <c r="G59" s="23" t="s">
        <v>2</v>
      </c>
    </row>
    <row r="61" spans="2:7" x14ac:dyDescent="0.25">
      <c r="B61" s="27" t="str">
        <f>'Code caisse'!$B$17</f>
        <v>Coques de téléphones</v>
      </c>
      <c r="C61" s="28" t="str">
        <f xml:space="preserve"> "Code caisse :"</f>
        <v>Code caisse :</v>
      </c>
      <c r="D61" s="4">
        <f>'Code caisse'!$A$17</f>
        <v>15</v>
      </c>
    </row>
    <row r="62" spans="2:7" x14ac:dyDescent="0.25">
      <c r="B62" s="26" t="s">
        <v>9</v>
      </c>
      <c r="C62" s="6" t="s">
        <v>0</v>
      </c>
      <c r="D62" s="3" t="s">
        <v>1</v>
      </c>
      <c r="E62" s="6" t="s">
        <v>3</v>
      </c>
      <c r="F62" s="6" t="s">
        <v>8</v>
      </c>
      <c r="G62" s="23" t="s">
        <v>2</v>
      </c>
    </row>
    <row r="64" spans="2:7" x14ac:dyDescent="0.25">
      <c r="B64" s="27" t="str">
        <f>'Code caisse'!$B$18</f>
        <v>Bagues</v>
      </c>
      <c r="C64" s="28" t="str">
        <f xml:space="preserve"> "Code caisse :"</f>
        <v>Code caisse :</v>
      </c>
      <c r="D64" s="4">
        <f>'Code caisse'!$A$18</f>
        <v>16</v>
      </c>
    </row>
    <row r="65" spans="2:7" x14ac:dyDescent="0.25">
      <c r="B65" s="26" t="s">
        <v>9</v>
      </c>
      <c r="C65" s="6" t="s">
        <v>0</v>
      </c>
      <c r="D65" s="3" t="s">
        <v>1</v>
      </c>
      <c r="E65" s="6" t="s">
        <v>3</v>
      </c>
      <c r="F65" s="6" t="s">
        <v>8</v>
      </c>
      <c r="G65" s="23" t="s">
        <v>2</v>
      </c>
    </row>
    <row r="67" spans="2:7" x14ac:dyDescent="0.25">
      <c r="B67" s="27" t="str">
        <f>'Code caisse'!$B$19</f>
        <v>Echarpes bijoux</v>
      </c>
      <c r="C67" s="28" t="str">
        <f xml:space="preserve"> "Code caisse :"</f>
        <v>Code caisse :</v>
      </c>
      <c r="D67" s="4">
        <f>'Code caisse'!$A$19</f>
        <v>17</v>
      </c>
    </row>
    <row r="68" spans="2:7" x14ac:dyDescent="0.25">
      <c r="B68" s="26" t="s">
        <v>9</v>
      </c>
      <c r="C68" s="6" t="s">
        <v>0</v>
      </c>
      <c r="D68" s="3" t="s">
        <v>1</v>
      </c>
      <c r="E68" s="6" t="s">
        <v>3</v>
      </c>
      <c r="F68" s="6" t="s">
        <v>8</v>
      </c>
      <c r="G68" s="23" t="s">
        <v>2</v>
      </c>
    </row>
    <row r="70" spans="2:7" x14ac:dyDescent="0.25">
      <c r="B70" s="27" t="str">
        <f>'Code caisse'!$B$20</f>
        <v>Cartes cadeaux</v>
      </c>
      <c r="C70" s="28" t="str">
        <f xml:space="preserve"> "Code caisse :"</f>
        <v>Code caisse :</v>
      </c>
      <c r="D70" s="4">
        <f>'Code caisse'!$A$20</f>
        <v>18</v>
      </c>
    </row>
    <row r="71" spans="2:7" x14ac:dyDescent="0.25">
      <c r="B71" s="26" t="s">
        <v>9</v>
      </c>
      <c r="C71" s="6" t="s">
        <v>0</v>
      </c>
      <c r="D71" s="3" t="s">
        <v>1</v>
      </c>
      <c r="E71" s="6" t="s">
        <v>3</v>
      </c>
      <c r="F71" s="6" t="s">
        <v>8</v>
      </c>
      <c r="G71" s="23" t="s">
        <v>2</v>
      </c>
    </row>
    <row r="73" spans="2:7" x14ac:dyDescent="0.25">
      <c r="B73" s="27" t="str">
        <f>'Code caisse'!$B$21</f>
        <v>Cosmétiques</v>
      </c>
      <c r="C73" s="28" t="str">
        <f xml:space="preserve"> "Code caisse :"</f>
        <v>Code caisse :</v>
      </c>
      <c r="D73" s="4">
        <f>'Code caisse'!$A$21</f>
        <v>19</v>
      </c>
    </row>
    <row r="74" spans="2:7" x14ac:dyDescent="0.25">
      <c r="B74" s="26" t="s">
        <v>9</v>
      </c>
      <c r="C74" s="6" t="s">
        <v>0</v>
      </c>
      <c r="D74" s="3" t="s">
        <v>1</v>
      </c>
      <c r="E74" s="6" t="s">
        <v>3</v>
      </c>
      <c r="F74" s="6" t="s">
        <v>8</v>
      </c>
      <c r="G74" s="23" t="s">
        <v>2</v>
      </c>
    </row>
  </sheetData>
  <sheetProtection sheet="1" objects="1" scenarios="1"/>
  <mergeCells count="1">
    <mergeCell ref="E7:F7"/>
  </mergeCells>
  <pageMargins left="0.7" right="0.7" top="0.75" bottom="0.75" header="0.3" footer="0.3"/>
  <pageSetup paperSize="9" orientation="portrait"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C1:G21"/>
  <sheetViews>
    <sheetView showGridLines="0" workbookViewId="0">
      <selection activeCell="G10" sqref="G10"/>
    </sheetView>
  </sheetViews>
  <sheetFormatPr baseColWidth="10" defaultRowHeight="15" x14ac:dyDescent="0.25"/>
  <cols>
    <col min="1" max="2" width="11.42578125" style="6"/>
    <col min="3" max="3" width="12.7109375" style="6" customWidth="1"/>
    <col min="4" max="4" width="25.85546875" style="6" customWidth="1"/>
    <col min="5" max="5" width="35" style="6" customWidth="1"/>
    <col min="6" max="6" width="27.5703125" style="6" customWidth="1"/>
    <col min="7" max="7" width="32.140625" style="6" customWidth="1"/>
    <col min="8" max="10" width="11.5703125" style="6" customWidth="1"/>
    <col min="11" max="16384" width="11.42578125" style="6"/>
  </cols>
  <sheetData>
    <row r="1" spans="3:7" x14ac:dyDescent="0.25">
      <c r="D1" s="6" t="s">
        <v>71</v>
      </c>
      <c r="E1" s="6" t="s">
        <v>72</v>
      </c>
      <c r="F1" s="6" t="s">
        <v>71</v>
      </c>
    </row>
    <row r="8" spans="3:7" ht="23.25" x14ac:dyDescent="0.25">
      <c r="F8" s="60" t="s">
        <v>31</v>
      </c>
      <c r="G8" s="60"/>
    </row>
    <row r="16" spans="3:7" x14ac:dyDescent="0.25">
      <c r="C16" s="6" t="s">
        <v>5</v>
      </c>
      <c r="D16" s="6" t="s">
        <v>1</v>
      </c>
      <c r="E16" s="6" t="s">
        <v>32</v>
      </c>
      <c r="F16" s="6" t="s">
        <v>33</v>
      </c>
      <c r="G16" s="6" t="s">
        <v>51</v>
      </c>
    </row>
    <row r="17" spans="3:7" x14ac:dyDescent="0.25">
      <c r="C17" s="3" t="str">
        <f>"FOUR"&amp;TEXT(ROW(C1),"000")</f>
        <v>FOUR001</v>
      </c>
      <c r="D17" s="6" t="s">
        <v>124</v>
      </c>
      <c r="E17" s="6" t="s">
        <v>135</v>
      </c>
      <c r="F17" s="6">
        <v>102030405</v>
      </c>
      <c r="G17" s="6" t="s">
        <v>136</v>
      </c>
    </row>
    <row r="18" spans="3:7" x14ac:dyDescent="0.25">
      <c r="C18" s="3" t="str">
        <f>"FOUR"&amp;TEXT(ROW(C2),"000")</f>
        <v>FOUR002</v>
      </c>
      <c r="D18" s="6" t="s">
        <v>167</v>
      </c>
      <c r="F18" s="6" t="s">
        <v>137</v>
      </c>
      <c r="G18" s="6" t="s">
        <v>138</v>
      </c>
    </row>
    <row r="19" spans="3:7" x14ac:dyDescent="0.25">
      <c r="C19" s="3" t="str">
        <f>"FOUR"&amp;TEXT(ROW(C3),"000")</f>
        <v>FOUR003</v>
      </c>
      <c r="D19" s="6" t="s">
        <v>139</v>
      </c>
      <c r="E19" s="6" t="s">
        <v>140</v>
      </c>
      <c r="G19" s="6" t="s">
        <v>141</v>
      </c>
    </row>
    <row r="20" spans="3:7" x14ac:dyDescent="0.25">
      <c r="C20" s="3" t="str">
        <f>"FOUR"&amp;TEXT(ROW(C4),"000")</f>
        <v>FOUR004</v>
      </c>
      <c r="D20" s="6" t="s">
        <v>119</v>
      </c>
      <c r="F20" s="6">
        <v>789163728</v>
      </c>
      <c r="G20" s="6" t="s">
        <v>142</v>
      </c>
    </row>
    <row r="21" spans="3:7" x14ac:dyDescent="0.25">
      <c r="C21" s="3" t="str">
        <f>"FOUR"&amp;TEXT(ROW(C5),"000")</f>
        <v>FOUR005</v>
      </c>
      <c r="D21" s="6" t="s">
        <v>165</v>
      </c>
      <c r="F21" s="6">
        <v>789877665</v>
      </c>
      <c r="G21" s="6" t="s">
        <v>166</v>
      </c>
    </row>
  </sheetData>
  <sheetProtection sheet="1" objects="1" scenarios="1"/>
  <mergeCells count="1">
    <mergeCell ref="F8:G8"/>
  </mergeCell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E2:L12"/>
  <sheetViews>
    <sheetView showGridLines="0" tabSelected="1" workbookViewId="0"/>
  </sheetViews>
  <sheetFormatPr baseColWidth="10" defaultRowHeight="15" x14ac:dyDescent="0.25"/>
  <cols>
    <col min="2" max="2" width="19.5703125" bestFit="1" customWidth="1"/>
    <col min="3" max="3" width="32.85546875" customWidth="1"/>
    <col min="4" max="4" width="12" bestFit="1" customWidth="1"/>
    <col min="5" max="5" width="16.7109375" customWidth="1"/>
    <col min="6" max="6" width="16.28515625" customWidth="1"/>
    <col min="7" max="7" width="27.7109375" bestFit="1" customWidth="1"/>
    <col min="8" max="10" width="11.5703125" customWidth="1"/>
    <col min="11" max="11" width="12.5703125" customWidth="1"/>
  </cols>
  <sheetData>
    <row r="2" spans="5:12" x14ac:dyDescent="0.25">
      <c r="I2" s="61"/>
      <c r="J2" s="61"/>
      <c r="K2" s="61"/>
      <c r="L2" s="61"/>
    </row>
    <row r="3" spans="5:12" x14ac:dyDescent="0.25">
      <c r="I3" s="61"/>
      <c r="J3" s="61"/>
      <c r="K3" s="61"/>
      <c r="L3" s="61"/>
    </row>
    <row r="8" spans="5:12" ht="23.25" x14ac:dyDescent="0.35">
      <c r="F8" s="2" t="s">
        <v>40</v>
      </c>
    </row>
    <row r="12" spans="5:12" x14ac:dyDescent="0.25">
      <c r="E12" s="1"/>
    </row>
  </sheetData>
  <sheetProtection sheet="1" objects="1" scenarios="1"/>
  <mergeCells count="1">
    <mergeCell ref="I2:L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9:J26"/>
  <sheetViews>
    <sheetView showGridLines="0" topLeftCell="A10" workbookViewId="0">
      <selection activeCell="H25" sqref="H25"/>
    </sheetView>
  </sheetViews>
  <sheetFormatPr baseColWidth="10" defaultRowHeight="15" x14ac:dyDescent="0.25"/>
  <cols>
    <col min="2" max="2" width="11.5703125" style="29" customWidth="1"/>
    <col min="3" max="3" width="10.5703125" style="18" customWidth="1"/>
    <col min="4" max="4" width="11.85546875" style="6" customWidth="1"/>
    <col min="5" max="5" width="39.140625" style="6" customWidth="1"/>
    <col min="6" max="6" width="17.7109375" style="6" customWidth="1"/>
    <col min="7" max="7" width="13.42578125" style="23" bestFit="1" customWidth="1"/>
    <col min="8" max="8" width="14.42578125" style="23" customWidth="1"/>
    <col min="9" max="9" width="13.85546875" style="23" customWidth="1"/>
    <col min="10" max="10" width="37" customWidth="1"/>
  </cols>
  <sheetData>
    <row r="9" spans="6:7" ht="23.25" customHeight="1" x14ac:dyDescent="0.35">
      <c r="F9" s="62" t="s">
        <v>47</v>
      </c>
      <c r="G9" s="62"/>
    </row>
    <row r="19" spans="2:10" ht="30" x14ac:dyDescent="0.25">
      <c r="B19" s="30" t="s">
        <v>7</v>
      </c>
      <c r="C19" s="18" t="s">
        <v>9</v>
      </c>
      <c r="D19" s="18" t="s">
        <v>0</v>
      </c>
      <c r="E19" s="18" t="s">
        <v>1</v>
      </c>
      <c r="F19" s="18" t="s">
        <v>8</v>
      </c>
      <c r="G19" s="18" t="s">
        <v>6</v>
      </c>
      <c r="H19" s="21" t="s">
        <v>50</v>
      </c>
      <c r="I19" s="21" t="s">
        <v>52</v>
      </c>
      <c r="J19" s="18" t="s">
        <v>51</v>
      </c>
    </row>
    <row r="20" spans="2:10" x14ac:dyDescent="0.25">
      <c r="B20" s="20">
        <v>41365</v>
      </c>
      <c r="C20" s="18">
        <v>1</v>
      </c>
      <c r="D20" s="19" t="s">
        <v>143</v>
      </c>
      <c r="E20" s="19" t="s">
        <v>118</v>
      </c>
      <c r="F20" s="19" t="s">
        <v>120</v>
      </c>
      <c r="G20" s="19">
        <v>200</v>
      </c>
      <c r="H20" s="22">
        <v>0.08</v>
      </c>
      <c r="I20" s="22">
        <v>0.11</v>
      </c>
      <c r="J20" s="19" t="s">
        <v>144</v>
      </c>
    </row>
    <row r="21" spans="2:10" x14ac:dyDescent="0.25">
      <c r="B21" s="20">
        <v>41365</v>
      </c>
      <c r="C21" s="18">
        <v>2</v>
      </c>
      <c r="D21" s="19" t="s">
        <v>53</v>
      </c>
      <c r="E21" s="19" t="s">
        <v>126</v>
      </c>
      <c r="F21" s="19" t="s">
        <v>128</v>
      </c>
      <c r="G21" s="19">
        <v>5</v>
      </c>
      <c r="H21" s="22">
        <v>3</v>
      </c>
      <c r="I21" s="22">
        <v>12</v>
      </c>
      <c r="J21" s="19" t="s">
        <v>145</v>
      </c>
    </row>
    <row r="22" spans="2:10" x14ac:dyDescent="0.25">
      <c r="B22" s="20">
        <v>41365</v>
      </c>
      <c r="C22" s="18">
        <v>3</v>
      </c>
      <c r="D22" s="19" t="s">
        <v>54</v>
      </c>
      <c r="E22" s="19" t="s">
        <v>131</v>
      </c>
      <c r="F22" s="19" t="s">
        <v>132</v>
      </c>
      <c r="G22" s="19">
        <v>1</v>
      </c>
      <c r="H22" s="22">
        <v>1</v>
      </c>
      <c r="I22" s="22">
        <v>10.5</v>
      </c>
      <c r="J22" s="19" t="s">
        <v>146</v>
      </c>
    </row>
    <row r="23" spans="2:10" x14ac:dyDescent="0.25">
      <c r="B23" s="20">
        <v>41366</v>
      </c>
      <c r="C23" s="18">
        <v>1</v>
      </c>
      <c r="D23" s="19" t="s">
        <v>143</v>
      </c>
      <c r="E23" s="19" t="s">
        <v>118</v>
      </c>
      <c r="F23" s="19" t="s">
        <v>120</v>
      </c>
      <c r="G23" s="19">
        <v>3</v>
      </c>
      <c r="H23" s="22">
        <v>7.0000000000000007E-2</v>
      </c>
      <c r="I23" s="22">
        <v>0.11</v>
      </c>
      <c r="J23" s="19"/>
    </row>
    <row r="24" spans="2:10" x14ac:dyDescent="0.25">
      <c r="B24" s="20">
        <v>41255</v>
      </c>
      <c r="C24" s="18">
        <v>4</v>
      </c>
      <c r="D24" s="19" t="s">
        <v>149</v>
      </c>
      <c r="E24" s="19" t="s">
        <v>133</v>
      </c>
      <c r="F24" s="19" t="s">
        <v>134</v>
      </c>
      <c r="G24" s="19">
        <v>2</v>
      </c>
      <c r="H24" s="22">
        <v>10</v>
      </c>
      <c r="I24" s="22">
        <v>40</v>
      </c>
      <c r="J24" s="19"/>
    </row>
    <row r="25" spans="2:10" x14ac:dyDescent="0.25">
      <c r="B25" s="20">
        <v>41255</v>
      </c>
      <c r="C25" s="18">
        <v>4</v>
      </c>
      <c r="D25" s="19" t="s">
        <v>149</v>
      </c>
      <c r="E25" s="19" t="s">
        <v>133</v>
      </c>
      <c r="F25" s="19" t="s">
        <v>134</v>
      </c>
      <c r="G25" s="19">
        <v>9</v>
      </c>
      <c r="H25" s="22">
        <v>40</v>
      </c>
      <c r="I25" s="22">
        <v>40</v>
      </c>
      <c r="J25" s="19"/>
    </row>
    <row r="26" spans="2:10" x14ac:dyDescent="0.25">
      <c r="B26" s="20">
        <v>41393</v>
      </c>
      <c r="C26" s="18">
        <v>2</v>
      </c>
      <c r="D26" s="19" t="s">
        <v>168</v>
      </c>
      <c r="E26" s="19" t="s">
        <v>162</v>
      </c>
      <c r="F26" s="19" t="s">
        <v>163</v>
      </c>
      <c r="G26" s="19">
        <v>3</v>
      </c>
      <c r="H26" s="22">
        <v>5</v>
      </c>
      <c r="I26" s="22">
        <v>10</v>
      </c>
      <c r="J26" s="19"/>
    </row>
  </sheetData>
  <mergeCells count="1">
    <mergeCell ref="F9:G9"/>
  </mergeCells>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B8:O29"/>
  <sheetViews>
    <sheetView showGridLines="0" topLeftCell="A10" workbookViewId="0">
      <selection activeCell="A24" sqref="A24"/>
    </sheetView>
  </sheetViews>
  <sheetFormatPr baseColWidth="10" defaultRowHeight="15" x14ac:dyDescent="0.25"/>
  <cols>
    <col min="1" max="1" width="11.42578125" style="6"/>
    <col min="2" max="2" width="12.5703125" style="6" customWidth="1"/>
    <col min="3" max="3" width="18.28515625" style="18" customWidth="1"/>
    <col min="4" max="4" width="10.85546875" style="18" customWidth="1"/>
    <col min="5" max="5" width="12.42578125" style="6" customWidth="1"/>
    <col min="6" max="6" width="37.7109375" style="6" customWidth="1"/>
    <col min="7" max="7" width="12.7109375" style="6" customWidth="1"/>
    <col min="8" max="8" width="12.5703125" style="6" bestFit="1" customWidth="1"/>
    <col min="9" max="9" width="13" style="23" customWidth="1"/>
    <col min="10" max="10" width="10.140625" style="6" customWidth="1"/>
    <col min="11" max="11" width="14.28515625" style="23" customWidth="1"/>
    <col min="12" max="12" width="19.85546875" style="6" bestFit="1" customWidth="1"/>
    <col min="13" max="13" width="26.7109375" style="6" customWidth="1"/>
    <col min="14" max="14" width="14.5703125" style="35" bestFit="1" customWidth="1"/>
    <col min="15" max="16384" width="11.42578125" style="6"/>
  </cols>
  <sheetData>
    <row r="8" spans="7:9" ht="23.25" x14ac:dyDescent="0.35">
      <c r="G8" s="63" t="s">
        <v>48</v>
      </c>
      <c r="H8" s="63"/>
      <c r="I8" s="63"/>
    </row>
    <row r="17" spans="2:15" ht="30" x14ac:dyDescent="0.25">
      <c r="B17" s="18" t="s">
        <v>7</v>
      </c>
      <c r="C17" s="18" t="s">
        <v>56</v>
      </c>
      <c r="D17" s="18" t="s">
        <v>9</v>
      </c>
      <c r="E17" s="18" t="s">
        <v>0</v>
      </c>
      <c r="F17" s="18" t="s">
        <v>1</v>
      </c>
      <c r="G17" s="18" t="s">
        <v>8</v>
      </c>
      <c r="H17" s="18" t="s">
        <v>6</v>
      </c>
      <c r="I17" s="21" t="s">
        <v>52</v>
      </c>
      <c r="J17" s="21" t="s">
        <v>57</v>
      </c>
      <c r="K17" s="21" t="s">
        <v>4</v>
      </c>
      <c r="L17" s="21" t="s">
        <v>55</v>
      </c>
      <c r="M17" s="18" t="s">
        <v>51</v>
      </c>
      <c r="N17" s="36" t="s">
        <v>117</v>
      </c>
      <c r="O17" s="36" t="s">
        <v>153</v>
      </c>
    </row>
    <row r="18" spans="2:15" x14ac:dyDescent="0.25">
      <c r="B18" s="20">
        <v>41278</v>
      </c>
      <c r="C18" s="18" t="s">
        <v>65</v>
      </c>
      <c r="D18" s="18">
        <v>3</v>
      </c>
      <c r="E18" s="19" t="s">
        <v>54</v>
      </c>
      <c r="F18" s="19" t="s">
        <v>131</v>
      </c>
      <c r="G18" s="19" t="s">
        <v>132</v>
      </c>
      <c r="H18" s="19">
        <v>1</v>
      </c>
      <c r="I18" s="22">
        <v>11</v>
      </c>
      <c r="J18" s="22" t="s">
        <v>59</v>
      </c>
      <c r="K18" s="22">
        <f>ventes[[#This Row],[Quantité]]*ventes[[#This Row],[Prix de vente unitaire]]</f>
        <v>11</v>
      </c>
      <c r="L18" s="22" t="s">
        <v>60</v>
      </c>
      <c r="M18" s="19"/>
      <c r="N18" s="37" t="str">
        <f>TEXT(30*MONTH(ventes[[#This Row],[Date]]), "mmmm")</f>
        <v>janvier</v>
      </c>
      <c r="O18" s="37" t="str">
        <f>TEXT(ventes[[#This Row],[Date]],"AAAA")</f>
        <v>2013</v>
      </c>
    </row>
    <row r="19" spans="2:15" x14ac:dyDescent="0.25">
      <c r="B19" s="20">
        <v>41337</v>
      </c>
      <c r="C19" s="18" t="s">
        <v>58</v>
      </c>
      <c r="D19" s="18">
        <v>1</v>
      </c>
      <c r="E19" s="19" t="s">
        <v>143</v>
      </c>
      <c r="F19" s="19" t="s">
        <v>118</v>
      </c>
      <c r="G19" s="19" t="s">
        <v>120</v>
      </c>
      <c r="H19" s="19">
        <v>23</v>
      </c>
      <c r="I19" s="22">
        <v>0.12</v>
      </c>
      <c r="J19" s="22"/>
      <c r="K19" s="22">
        <f>ventes[[#This Row],[Quantité]]*ventes[[#This Row],[Prix de vente unitaire]]</f>
        <v>2.76</v>
      </c>
      <c r="L19" s="22" t="s">
        <v>66</v>
      </c>
      <c r="M19" s="19" t="s">
        <v>147</v>
      </c>
      <c r="N19" s="37" t="str">
        <f>TEXT(30*MONTH(ventes[[#This Row],[Date]]), "mmmm")</f>
        <v>mars</v>
      </c>
      <c r="O19" s="37" t="str">
        <f>TEXT(ventes[[#This Row],[Date]],"AAAA")</f>
        <v>2013</v>
      </c>
    </row>
    <row r="20" spans="2:15" x14ac:dyDescent="0.25">
      <c r="B20" s="20">
        <v>41368</v>
      </c>
      <c r="C20" s="18" t="s">
        <v>148</v>
      </c>
      <c r="D20" s="18">
        <v>3</v>
      </c>
      <c r="E20" s="19" t="s">
        <v>54</v>
      </c>
      <c r="F20" s="19" t="s">
        <v>131</v>
      </c>
      <c r="G20" s="19" t="s">
        <v>132</v>
      </c>
      <c r="H20" s="19">
        <v>1</v>
      </c>
      <c r="I20" s="22">
        <v>10.5</v>
      </c>
      <c r="J20" s="22"/>
      <c r="K20" s="22">
        <f>ventes[[#This Row],[Quantité]]*ventes[[#This Row],[Prix de vente unitaire]]</f>
        <v>10.5</v>
      </c>
      <c r="L20" s="22" t="s">
        <v>61</v>
      </c>
      <c r="M20" s="19"/>
      <c r="N20" s="37" t="str">
        <f>TEXT(30*MONTH(ventes[[#This Row],[Date]]), "mmmm")</f>
        <v>avril</v>
      </c>
      <c r="O20" s="37" t="str">
        <f>TEXT(ventes[[#This Row],[Date]],"AAAA")</f>
        <v>2013</v>
      </c>
    </row>
    <row r="21" spans="2:15" x14ac:dyDescent="0.25">
      <c r="B21" s="20">
        <v>41368</v>
      </c>
      <c r="C21" s="18" t="s">
        <v>58</v>
      </c>
      <c r="D21" s="18">
        <v>2</v>
      </c>
      <c r="E21" s="19" t="s">
        <v>64</v>
      </c>
      <c r="F21" s="19" t="s">
        <v>129</v>
      </c>
      <c r="G21" s="19" t="s">
        <v>130</v>
      </c>
      <c r="H21" s="19">
        <v>2</v>
      </c>
      <c r="I21" s="22">
        <v>2.5</v>
      </c>
      <c r="J21" s="22"/>
      <c r="K21" s="22">
        <f>ventes[[#This Row],[Quantité]]*ventes[[#This Row],[Prix de vente unitaire]]</f>
        <v>5</v>
      </c>
      <c r="L21" s="22" t="s">
        <v>60</v>
      </c>
      <c r="M21" s="19"/>
      <c r="N21" s="37" t="str">
        <f>TEXT(30*MONTH(ventes[[#This Row],[Date]]), "mmmm")</f>
        <v>avril</v>
      </c>
      <c r="O21" s="37" t="str">
        <f>TEXT(ventes[[#This Row],[Date]],"AAAA")</f>
        <v>2013</v>
      </c>
    </row>
    <row r="22" spans="2:15" x14ac:dyDescent="0.25">
      <c r="B22" s="20">
        <v>41368</v>
      </c>
      <c r="C22" s="18" t="s">
        <v>148</v>
      </c>
      <c r="D22" s="18">
        <v>4</v>
      </c>
      <c r="E22" s="19" t="s">
        <v>149</v>
      </c>
      <c r="F22" s="19" t="s">
        <v>133</v>
      </c>
      <c r="G22" s="19" t="s">
        <v>134</v>
      </c>
      <c r="H22" s="19">
        <v>2</v>
      </c>
      <c r="I22" s="22">
        <v>30</v>
      </c>
      <c r="J22" s="22"/>
      <c r="K22" s="22">
        <f>ventes[[#This Row],[Quantité]]*ventes[[#This Row],[Prix de vente unitaire]]</f>
        <v>60</v>
      </c>
      <c r="L22" s="22" t="s">
        <v>66</v>
      </c>
      <c r="M22" s="19"/>
      <c r="N22" s="37" t="str">
        <f>TEXT(30*MONTH(ventes[[#This Row],[Date]]), "mmmm")</f>
        <v>avril</v>
      </c>
      <c r="O22" s="37" t="str">
        <f>TEXT(ventes[[#This Row],[Date]],"AAAA")</f>
        <v>2013</v>
      </c>
    </row>
    <row r="23" spans="2:15" x14ac:dyDescent="0.25">
      <c r="B23" s="20">
        <v>41395</v>
      </c>
      <c r="C23" s="18" t="s">
        <v>58</v>
      </c>
      <c r="D23" s="18">
        <v>1</v>
      </c>
      <c r="E23" s="19" t="s">
        <v>143</v>
      </c>
      <c r="F23" s="19" t="s">
        <v>118</v>
      </c>
      <c r="G23" s="19" t="s">
        <v>120</v>
      </c>
      <c r="H23" s="19">
        <v>23</v>
      </c>
      <c r="I23" s="22">
        <v>0.11</v>
      </c>
      <c r="J23" s="22"/>
      <c r="K23" s="22">
        <f>ventes[[#This Row],[Quantité]]*ventes[[#This Row],[Prix de vente unitaire]]</f>
        <v>2.5299999999999998</v>
      </c>
      <c r="L23" s="22" t="s">
        <v>60</v>
      </c>
      <c r="M23" s="19"/>
      <c r="N23" s="37" t="str">
        <f>TEXT(30*MONTH(ventes[[#This Row],[Date]]), "mmmm")</f>
        <v>mai</v>
      </c>
      <c r="O23" s="37" t="str">
        <f>TEXT(ventes[[#This Row],[Date]],"AAAA")</f>
        <v>2013</v>
      </c>
    </row>
    <row r="24" spans="2:15" x14ac:dyDescent="0.25">
      <c r="B24" s="20">
        <v>41396</v>
      </c>
      <c r="C24" s="18" t="s">
        <v>58</v>
      </c>
      <c r="D24" s="18">
        <v>2</v>
      </c>
      <c r="E24" s="19" t="s">
        <v>64</v>
      </c>
      <c r="F24" s="19" t="s">
        <v>129</v>
      </c>
      <c r="G24" s="19" t="s">
        <v>130</v>
      </c>
      <c r="H24" s="19">
        <v>5</v>
      </c>
      <c r="I24" s="22">
        <v>1</v>
      </c>
      <c r="J24" s="22" t="s">
        <v>59</v>
      </c>
      <c r="K24" s="22">
        <f>ventes[[#This Row],[Quantité]]*ventes[[#This Row],[Prix de vente unitaire]]</f>
        <v>5</v>
      </c>
      <c r="L24" s="22" t="s">
        <v>60</v>
      </c>
      <c r="M24" s="19" t="s">
        <v>150</v>
      </c>
      <c r="N24" s="37" t="str">
        <f>TEXT(30*MONTH(ventes[[#This Row],[Date]]), "mmmm")</f>
        <v>mai</v>
      </c>
      <c r="O24" s="37" t="str">
        <f>TEXT(ventes[[#This Row],[Date]],"AAAA")</f>
        <v>2013</v>
      </c>
    </row>
    <row r="25" spans="2:15" x14ac:dyDescent="0.25">
      <c r="B25" s="20">
        <v>41397</v>
      </c>
      <c r="C25" s="18" t="s">
        <v>65</v>
      </c>
      <c r="D25" s="18">
        <v>4</v>
      </c>
      <c r="E25" s="19" t="s">
        <v>149</v>
      </c>
      <c r="F25" s="19" t="s">
        <v>133</v>
      </c>
      <c r="G25" s="19" t="s">
        <v>134</v>
      </c>
      <c r="H25" s="19">
        <v>3</v>
      </c>
      <c r="I25" s="22">
        <v>40</v>
      </c>
      <c r="J25" s="22"/>
      <c r="K25" s="22">
        <f>ventes[[#This Row],[Quantité]]*ventes[[#This Row],[Prix de vente unitaire]]</f>
        <v>120</v>
      </c>
      <c r="L25" s="22" t="s">
        <v>60</v>
      </c>
      <c r="M25" s="19"/>
      <c r="N25" s="37" t="str">
        <f>TEXT(30*MONTH(ventes[[#This Row],[Date]]), "mmmm")</f>
        <v>mai</v>
      </c>
      <c r="O25" s="37" t="str">
        <f>TEXT(ventes[[#This Row],[Date]],"AAAA")</f>
        <v>2013</v>
      </c>
    </row>
    <row r="26" spans="2:15" x14ac:dyDescent="0.25">
      <c r="B26" s="20">
        <v>41369</v>
      </c>
      <c r="C26" s="18" t="s">
        <v>73</v>
      </c>
      <c r="D26" s="18">
        <v>3</v>
      </c>
      <c r="E26" s="19" t="s">
        <v>54</v>
      </c>
      <c r="F26" s="19" t="s">
        <v>131</v>
      </c>
      <c r="G26" s="19" t="s">
        <v>132</v>
      </c>
      <c r="H26" s="19">
        <v>1</v>
      </c>
      <c r="I26" s="22">
        <v>10</v>
      </c>
      <c r="J26" s="22"/>
      <c r="K26" s="22">
        <f>ventes[[#This Row],[Quantité]]*ventes[[#This Row],[Prix de vente unitaire]]</f>
        <v>10</v>
      </c>
      <c r="L26" s="22" t="s">
        <v>61</v>
      </c>
      <c r="M26" s="19"/>
      <c r="N26" s="37" t="str">
        <f>TEXT(30*MONTH(ventes[[#This Row],[Date]]), "mmmm")</f>
        <v>avril</v>
      </c>
      <c r="O26" s="37" t="str">
        <f>TEXT(ventes[[#This Row],[Date]],"AAAA")</f>
        <v>2013</v>
      </c>
    </row>
    <row r="27" spans="2:15" x14ac:dyDescent="0.25">
      <c r="B27" s="20">
        <v>41399</v>
      </c>
      <c r="C27" s="18" t="s">
        <v>151</v>
      </c>
      <c r="D27" s="18">
        <v>3</v>
      </c>
      <c r="E27" s="19" t="s">
        <v>54</v>
      </c>
      <c r="F27" s="19" t="s">
        <v>131</v>
      </c>
      <c r="G27" s="19" t="s">
        <v>132</v>
      </c>
      <c r="H27" s="19">
        <v>2</v>
      </c>
      <c r="I27" s="22">
        <v>10.5</v>
      </c>
      <c r="J27" s="22"/>
      <c r="K27" s="22">
        <f>ventes[[#This Row],[Quantité]]*ventes[[#This Row],[Prix de vente unitaire]]</f>
        <v>21</v>
      </c>
      <c r="L27" s="22" t="s">
        <v>66</v>
      </c>
      <c r="M27" s="19"/>
      <c r="N27" s="37" t="str">
        <f>TEXT(30*MONTH(ventes[[#This Row],[Date]]), "mmmm")</f>
        <v>mai</v>
      </c>
      <c r="O27" s="37" t="str">
        <f>TEXT(ventes[[#This Row],[Date]],"AAAA")</f>
        <v>2013</v>
      </c>
    </row>
    <row r="28" spans="2:15" x14ac:dyDescent="0.25">
      <c r="B28" s="20">
        <v>41255</v>
      </c>
      <c r="C28" s="18" t="s">
        <v>58</v>
      </c>
      <c r="D28" s="18">
        <v>4</v>
      </c>
      <c r="E28" s="19" t="s">
        <v>149</v>
      </c>
      <c r="F28" s="19" t="s">
        <v>133</v>
      </c>
      <c r="G28" s="19" t="s">
        <v>134</v>
      </c>
      <c r="H28" s="19">
        <v>1</v>
      </c>
      <c r="I28" s="22">
        <v>40</v>
      </c>
      <c r="J28" s="22"/>
      <c r="K28" s="22">
        <f>ventes[[#This Row],[Quantité]]*ventes[[#This Row],[Prix de vente unitaire]]</f>
        <v>40</v>
      </c>
      <c r="L28" s="22" t="s">
        <v>66</v>
      </c>
      <c r="M28" s="19"/>
      <c r="N28" s="37" t="str">
        <f>TEXT(30*MONTH(ventes[[#This Row],[Date]]), "mmmm")</f>
        <v>décembre</v>
      </c>
      <c r="O28" s="37" t="str">
        <f>TEXT(ventes[[#This Row],[Date]],"AAAA")</f>
        <v>2012</v>
      </c>
    </row>
    <row r="29" spans="2:15" x14ac:dyDescent="0.25">
      <c r="B29" s="20" t="s">
        <v>169</v>
      </c>
      <c r="C29" s="18" t="s">
        <v>148</v>
      </c>
      <c r="D29" s="18">
        <v>2</v>
      </c>
      <c r="E29" s="19" t="s">
        <v>168</v>
      </c>
      <c r="F29" s="19" t="s">
        <v>162</v>
      </c>
      <c r="G29" s="19" t="s">
        <v>163</v>
      </c>
      <c r="H29" s="19">
        <v>1</v>
      </c>
      <c r="I29" s="22">
        <v>9</v>
      </c>
      <c r="J29" s="22" t="s">
        <v>59</v>
      </c>
      <c r="K29" s="22">
        <f>ventes[[#This Row],[Quantité]]*ventes[[#This Row],[Prix de vente unitaire]]</f>
        <v>9</v>
      </c>
      <c r="L29" s="22" t="s">
        <v>66</v>
      </c>
      <c r="M29" s="19"/>
      <c r="N29" s="37" t="str">
        <f>TEXT(30*MONTH(ventes[[#This Row],[Date]]), "mmmm")</f>
        <v>avril</v>
      </c>
      <c r="O29" s="37" t="str">
        <f>TEXT(ventes[[#This Row],[Date]],"AAAA")</f>
        <v>2013</v>
      </c>
    </row>
  </sheetData>
  <sheetProtection sheet="1" objects="1" scenarios="1"/>
  <mergeCells count="1">
    <mergeCell ref="G8:I8"/>
  </mergeCells>
  <pageMargins left="0.7" right="0.7" top="0.75" bottom="0.75" header="0.3" footer="0.3"/>
  <ignoredErrors>
    <ignoredError sqref="K18" calculatedColumn="1"/>
  </ignoredErrors>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I22"/>
  <sheetViews>
    <sheetView showGridLines="0" workbookViewId="0">
      <selection activeCell="G21" sqref="G21"/>
    </sheetView>
  </sheetViews>
  <sheetFormatPr baseColWidth="10" defaultRowHeight="15" x14ac:dyDescent="0.25"/>
  <cols>
    <col min="1" max="1" width="11.5703125" style="6" customWidth="1"/>
    <col min="2" max="2" width="10.7109375" style="18" customWidth="1"/>
    <col min="3" max="3" width="15.5703125" style="6" customWidth="1"/>
    <col min="4" max="4" width="38" style="6" customWidth="1"/>
    <col min="5" max="5" width="17.28515625" style="6" customWidth="1"/>
    <col min="6" max="6" width="13.42578125" style="6" bestFit="1" customWidth="1"/>
    <col min="7" max="7" width="16.85546875" style="23" customWidth="1"/>
    <col min="8" max="8" width="16.140625" style="23" customWidth="1"/>
    <col min="9" max="9" width="15.42578125" style="23" customWidth="1"/>
    <col min="10" max="16384" width="11.42578125" style="6"/>
  </cols>
  <sheetData>
    <row r="1" spans="1:7" x14ac:dyDescent="0.25">
      <c r="A1" s="6" t="s">
        <v>67</v>
      </c>
      <c r="B1" s="18" t="s">
        <v>68</v>
      </c>
      <c r="C1" s="6" t="s">
        <v>69</v>
      </c>
      <c r="D1" s="6" t="s">
        <v>70</v>
      </c>
    </row>
    <row r="8" spans="1:7" ht="23.25" customHeight="1" x14ac:dyDescent="0.35">
      <c r="F8" s="63" t="s">
        <v>49</v>
      </c>
      <c r="G8" s="63"/>
    </row>
    <row r="17" spans="2:9" s="18" customFormat="1" ht="30" x14ac:dyDescent="0.25">
      <c r="B17" s="25" t="s">
        <v>9</v>
      </c>
      <c r="C17" s="25" t="s">
        <v>0</v>
      </c>
      <c r="D17" s="25" t="s">
        <v>1</v>
      </c>
      <c r="E17" s="25" t="s">
        <v>8</v>
      </c>
      <c r="F17" s="25" t="s">
        <v>6</v>
      </c>
      <c r="G17" s="46" t="s">
        <v>152</v>
      </c>
      <c r="H17" s="46" t="s">
        <v>62</v>
      </c>
      <c r="I17" s="47" t="s">
        <v>63</v>
      </c>
    </row>
    <row r="18" spans="2:9" x14ac:dyDescent="0.25">
      <c r="B18" s="44">
        <v>1</v>
      </c>
      <c r="C18" s="24" t="s">
        <v>143</v>
      </c>
      <c r="D18" s="24" t="s">
        <v>118</v>
      </c>
      <c r="E18" s="24" t="s">
        <v>120</v>
      </c>
      <c r="F18" s="24">
        <v>152</v>
      </c>
      <c r="G18" s="42">
        <v>7.0000000000000007E-2</v>
      </c>
      <c r="H18" s="42">
        <f>Stocks[[#This Row],[Quantité]]*Stocks[[#This Row],[Coût d''achat unitaire (PEPS)]]</f>
        <v>10.64</v>
      </c>
      <c r="I18" s="43">
        <f>VLOOKUP(D18,ZoneProduits,4,FALSE)*Stocks[[#This Row],[Quantité]]</f>
        <v>18.239999999999998</v>
      </c>
    </row>
    <row r="19" spans="2:9" x14ac:dyDescent="0.25">
      <c r="B19" s="45">
        <v>2</v>
      </c>
      <c r="C19" s="39" t="s">
        <v>53</v>
      </c>
      <c r="D19" s="39" t="s">
        <v>126</v>
      </c>
      <c r="E19" s="39" t="s">
        <v>128</v>
      </c>
      <c r="F19" s="39">
        <v>5</v>
      </c>
      <c r="G19" s="40">
        <v>3</v>
      </c>
      <c r="H19" s="40">
        <f>Stocks[[#This Row],[Quantité]]*Stocks[[#This Row],[Coût d''achat unitaire (PEPS)]]</f>
        <v>15</v>
      </c>
      <c r="I19" s="41">
        <f>VLOOKUP(D19,ZoneProduits,4,FALSE)*Stocks[[#This Row],[Quantité]]</f>
        <v>60</v>
      </c>
    </row>
    <row r="20" spans="2:9" x14ac:dyDescent="0.25">
      <c r="B20" s="45">
        <v>3</v>
      </c>
      <c r="C20" s="39" t="s">
        <v>54</v>
      </c>
      <c r="D20" s="39" t="s">
        <v>131</v>
      </c>
      <c r="E20" s="39" t="s">
        <v>132</v>
      </c>
      <c r="F20" s="39">
        <v>-6</v>
      </c>
      <c r="G20" s="40">
        <v>1</v>
      </c>
      <c r="H20" s="40">
        <f>Stocks[[#This Row],[Quantité]]*Stocks[[#This Row],[Coût d''achat unitaire (PEPS)]]</f>
        <v>-6</v>
      </c>
      <c r="I20" s="41">
        <f>VLOOKUP(D20,ZoneProduits,4,FALSE)*Stocks[[#This Row],[Quantité]]</f>
        <v>-63</v>
      </c>
    </row>
    <row r="21" spans="2:9" x14ac:dyDescent="0.25">
      <c r="B21" s="45">
        <v>4</v>
      </c>
      <c r="C21" s="39" t="s">
        <v>149</v>
      </c>
      <c r="D21" s="39" t="s">
        <v>133</v>
      </c>
      <c r="E21" s="39" t="s">
        <v>134</v>
      </c>
      <c r="F21" s="39">
        <v>5</v>
      </c>
      <c r="G21" s="40">
        <v>40</v>
      </c>
      <c r="H21" s="40">
        <f>Stocks[[#This Row],[Quantité]]*Stocks[[#This Row],[Coût d''achat unitaire (PEPS)]]</f>
        <v>200</v>
      </c>
      <c r="I21" s="41">
        <f>VLOOKUP(D21,ZoneProduits,4,FALSE)*Stocks[[#This Row],[Quantité]]</f>
        <v>200</v>
      </c>
    </row>
    <row r="22" spans="2:9" x14ac:dyDescent="0.25">
      <c r="B22" s="50">
        <v>2</v>
      </c>
      <c r="C22" s="51" t="s">
        <v>168</v>
      </c>
      <c r="D22" s="51" t="s">
        <v>162</v>
      </c>
      <c r="E22" s="51" t="s">
        <v>163</v>
      </c>
      <c r="F22" s="51">
        <v>2</v>
      </c>
      <c r="G22" s="52">
        <v>5</v>
      </c>
      <c r="H22" s="52">
        <f>Stocks[[#This Row],[Quantité]]*Stocks[[#This Row],[Coût d''achat unitaire (PEPS)]]</f>
        <v>10</v>
      </c>
      <c r="I22" s="53">
        <f>VLOOKUP(D22,ZoneProduits,4,FALSE)*Stocks[[#This Row],[Quantité]]</f>
        <v>20</v>
      </c>
    </row>
  </sheetData>
  <mergeCells count="1">
    <mergeCell ref="F8:G8"/>
  </mergeCells>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7:L58"/>
  <sheetViews>
    <sheetView showGridLines="0" workbookViewId="0">
      <selection activeCell="A23" sqref="A23"/>
    </sheetView>
  </sheetViews>
  <sheetFormatPr baseColWidth="10" defaultColWidth="15.42578125" defaultRowHeight="15" x14ac:dyDescent="0.25"/>
  <cols>
    <col min="1" max="1" width="4.85546875" style="70" customWidth="1"/>
    <col min="2" max="2" width="34.140625" style="70" customWidth="1"/>
    <col min="3" max="5" width="15.42578125" style="70"/>
    <col min="6" max="6" width="6.7109375" style="70" customWidth="1"/>
    <col min="7" max="7" width="28.42578125" style="70" bestFit="1" customWidth="1"/>
    <col min="8" max="8" width="12.7109375" style="71" customWidth="1"/>
    <col min="9" max="9" width="13.85546875" style="68" customWidth="1"/>
    <col min="10" max="10" width="30" style="69" bestFit="1" customWidth="1"/>
    <col min="11" max="11" width="15.28515625" style="70" bestFit="1" customWidth="1"/>
    <col min="12" max="16384" width="15.42578125" style="70"/>
  </cols>
  <sheetData>
    <row r="7" spans="7:8" ht="23.25" x14ac:dyDescent="0.35">
      <c r="G7" s="67" t="s">
        <v>173</v>
      </c>
      <c r="H7" s="67"/>
    </row>
    <row r="17" spans="1:12" x14ac:dyDescent="0.25">
      <c r="H17" s="71">
        <v>296.78999999999996</v>
      </c>
    </row>
    <row r="21" spans="1:12" x14ac:dyDescent="0.25">
      <c r="A21" s="72"/>
      <c r="B21" s="72"/>
      <c r="C21" s="72"/>
      <c r="D21" s="72"/>
      <c r="E21" s="72"/>
      <c r="F21" s="72"/>
      <c r="G21" s="72"/>
      <c r="H21" s="73"/>
      <c r="I21" s="74"/>
      <c r="J21" s="75"/>
      <c r="K21" s="72"/>
      <c r="L21" s="72"/>
    </row>
    <row r="22" spans="1:12" x14ac:dyDescent="0.25">
      <c r="A22" s="76"/>
      <c r="B22" s="77" t="s">
        <v>74</v>
      </c>
      <c r="C22" s="78" t="s">
        <v>75</v>
      </c>
      <c r="D22" s="79" t="s">
        <v>76</v>
      </c>
      <c r="E22" s="78" t="s">
        <v>77</v>
      </c>
      <c r="F22" s="80"/>
      <c r="G22" s="81" t="s">
        <v>78</v>
      </c>
      <c r="H22" s="82" t="s">
        <v>75</v>
      </c>
      <c r="I22" s="83" t="s">
        <v>172</v>
      </c>
      <c r="J22" s="84" t="s">
        <v>77</v>
      </c>
      <c r="K22" s="76"/>
    </row>
    <row r="23" spans="1:12" x14ac:dyDescent="0.25">
      <c r="A23" s="72"/>
      <c r="B23" s="77" t="s">
        <v>79</v>
      </c>
      <c r="C23" s="78">
        <f>Revenus[[#Totals],[ESTIMÉ]]</f>
        <v>73950</v>
      </c>
      <c r="D23" s="79">
        <f>Revenus[[#Totals],[REEL]]</f>
        <v>296.78999999999996</v>
      </c>
      <c r="E23" s="78">
        <f>TableauTotaux[[#This Row],[RÉEL]]-TableauTotaux[[#This Row],[ESTIMÉ]]</f>
        <v>-73653.210000000006</v>
      </c>
      <c r="F23" s="80"/>
      <c r="G23" s="85" t="s">
        <v>80</v>
      </c>
      <c r="H23" s="86">
        <v>60000</v>
      </c>
      <c r="I23" s="66">
        <f>GETPIVOTDATA("Total",BudgetDynamique!$A$4)</f>
        <v>296.78999999999996</v>
      </c>
      <c r="J23" s="87">
        <f>Revenus[[#This Row],[REEL]]-Revenus[[#This Row],[ESTIMÉ]]</f>
        <v>-59703.21</v>
      </c>
      <c r="K23" s="72"/>
    </row>
    <row r="24" spans="1:12" x14ac:dyDescent="0.25">
      <c r="A24" s="72"/>
      <c r="B24" s="77" t="s">
        <v>81</v>
      </c>
      <c r="C24" s="78">
        <f>FraisExploitation[[#Totals],[ESTIMÉ]]+DépensesPersonnelles[[#Totals],[ESTIMÉ]]</f>
        <v>10600</v>
      </c>
      <c r="D24" s="79">
        <f>FraisExploitation[[#Totals],[REEL]]+DépensesPersonnelles[[#Totals],[REEL]]</f>
        <v>0</v>
      </c>
      <c r="E24" s="78">
        <f>TableauTotaux[[#This Row],[ESTIMÉ]]-TableauTotaux[[#This Row],[RÉEL]]</f>
        <v>10600</v>
      </c>
      <c r="F24" s="80"/>
      <c r="G24" s="85" t="s">
        <v>82</v>
      </c>
      <c r="H24" s="86">
        <v>3000</v>
      </c>
      <c r="I24" s="66">
        <v>0</v>
      </c>
      <c r="J24" s="87">
        <f>Revenus[[#This Row],[REEL]]-Revenus[[#This Row],[ESTIMÉ]]</f>
        <v>-3000</v>
      </c>
      <c r="K24" s="72"/>
    </row>
    <row r="25" spans="1:12" x14ac:dyDescent="0.25">
      <c r="A25" s="72"/>
      <c r="B25" s="77" t="s">
        <v>83</v>
      </c>
      <c r="C25" s="78">
        <f>C23-C24</f>
        <v>63350</v>
      </c>
      <c r="D25" s="79">
        <f>D23-D24</f>
        <v>296.78999999999996</v>
      </c>
      <c r="E25" s="78">
        <f>SUBTOTAL(109,TableauTotaux[DIFFÉRENCE])</f>
        <v>-63053.210000000006</v>
      </c>
      <c r="F25" s="80"/>
      <c r="G25" s="85" t="s">
        <v>84</v>
      </c>
      <c r="H25" s="86">
        <v>300</v>
      </c>
      <c r="I25" s="66">
        <v>0</v>
      </c>
      <c r="J25" s="87">
        <f>Revenus[[#This Row],[REEL]]-Revenus[[#This Row],[ESTIMÉ]]</f>
        <v>-300</v>
      </c>
      <c r="K25" s="72"/>
    </row>
    <row r="26" spans="1:12" x14ac:dyDescent="0.25">
      <c r="A26" s="72"/>
      <c r="B26" s="85"/>
      <c r="C26" s="88"/>
      <c r="D26" s="88"/>
      <c r="E26" s="89"/>
      <c r="F26" s="72"/>
      <c r="G26" s="85" t="s">
        <v>99</v>
      </c>
      <c r="H26" s="86">
        <v>10000</v>
      </c>
      <c r="I26" s="66">
        <v>0</v>
      </c>
      <c r="J26" s="87">
        <f>Revenus[[#This Row],[REEL]]-Revenus[[#This Row],[ESTIMÉ]]</f>
        <v>-10000</v>
      </c>
      <c r="K26" s="72"/>
    </row>
    <row r="27" spans="1:12" x14ac:dyDescent="0.25">
      <c r="A27" s="72"/>
      <c r="B27" s="72"/>
      <c r="C27" s="72"/>
      <c r="D27" s="72"/>
      <c r="E27" s="72"/>
      <c r="F27" s="72"/>
      <c r="G27" s="85" t="s">
        <v>101</v>
      </c>
      <c r="H27" s="86">
        <v>100</v>
      </c>
      <c r="I27" s="66">
        <v>0</v>
      </c>
      <c r="J27" s="87">
        <f>Revenus[[#This Row],[REEL]]-Revenus[[#This Row],[ESTIMÉ]]</f>
        <v>-100</v>
      </c>
      <c r="K27" s="90"/>
      <c r="L27" s="72"/>
    </row>
    <row r="28" spans="1:12" x14ac:dyDescent="0.25">
      <c r="A28" s="72"/>
      <c r="B28" s="72"/>
      <c r="C28" s="72"/>
      <c r="D28" s="72"/>
      <c r="E28" s="72"/>
      <c r="F28" s="72"/>
      <c r="G28" s="85" t="s">
        <v>102</v>
      </c>
      <c r="H28" s="86">
        <v>100</v>
      </c>
      <c r="I28" s="66">
        <v>0</v>
      </c>
      <c r="J28" s="87">
        <f>Revenus[[#This Row],[REEL]]-Revenus[[#This Row],[ESTIMÉ]]</f>
        <v>-100</v>
      </c>
      <c r="K28" s="72"/>
    </row>
    <row r="29" spans="1:12" x14ac:dyDescent="0.25">
      <c r="A29" s="72"/>
      <c r="B29" s="72"/>
      <c r="C29" s="72"/>
      <c r="D29" s="72"/>
      <c r="E29" s="72"/>
      <c r="F29" s="72"/>
      <c r="G29" s="85" t="s">
        <v>103</v>
      </c>
      <c r="H29" s="86">
        <v>100</v>
      </c>
      <c r="I29" s="66">
        <v>0</v>
      </c>
      <c r="J29" s="87">
        <f>Revenus[[#This Row],[REEL]]-Revenus[[#This Row],[ESTIMÉ]]</f>
        <v>-100</v>
      </c>
      <c r="K29" s="72"/>
    </row>
    <row r="30" spans="1:12" x14ac:dyDescent="0.25">
      <c r="A30" s="72"/>
      <c r="B30" s="72"/>
      <c r="C30" s="72"/>
      <c r="D30" s="72"/>
      <c r="E30" s="72"/>
      <c r="F30" s="72"/>
      <c r="G30" s="85" t="s">
        <v>104</v>
      </c>
      <c r="H30" s="86">
        <v>250</v>
      </c>
      <c r="I30" s="66">
        <v>0</v>
      </c>
      <c r="J30" s="87">
        <f>Revenus[[#This Row],[REEL]]-Revenus[[#This Row],[ESTIMÉ]]</f>
        <v>-250</v>
      </c>
      <c r="K30" s="72"/>
    </row>
    <row r="31" spans="1:12" x14ac:dyDescent="0.25">
      <c r="A31" s="72"/>
      <c r="B31" s="72"/>
      <c r="C31" s="72"/>
      <c r="D31" s="72"/>
      <c r="E31" s="72"/>
      <c r="F31" s="72"/>
      <c r="G31" s="85" t="s">
        <v>170</v>
      </c>
      <c r="H31" s="86">
        <v>100</v>
      </c>
      <c r="I31" s="66">
        <v>0</v>
      </c>
      <c r="J31" s="87">
        <f>Revenus[[#This Row],[REEL]]-Revenus[[#This Row],[ESTIMÉ]]</f>
        <v>-100</v>
      </c>
      <c r="K31" s="72"/>
    </row>
    <row r="32" spans="1:12" x14ac:dyDescent="0.25">
      <c r="A32" s="72"/>
      <c r="B32" s="72"/>
      <c r="C32" s="72"/>
      <c r="D32" s="72"/>
      <c r="E32" s="72"/>
      <c r="F32" s="72"/>
      <c r="G32" s="85" t="s">
        <v>4</v>
      </c>
      <c r="H32" s="91">
        <f>SUBTOTAL(109,Revenus[ESTIMÉ])</f>
        <v>73950</v>
      </c>
      <c r="I32" s="92">
        <f>SUBTOTAL(109,Revenus[REEL])</f>
        <v>296.78999999999996</v>
      </c>
      <c r="J32" s="93">
        <f>SUBTOTAL(109,Revenus[DIFFÉRENCE])</f>
        <v>-73653.209999999992</v>
      </c>
      <c r="K32" s="72"/>
    </row>
    <row r="33" spans="1:12" x14ac:dyDescent="0.25">
      <c r="A33" s="72"/>
      <c r="B33" s="72"/>
      <c r="C33" s="72"/>
      <c r="D33" s="72"/>
      <c r="E33" s="72"/>
      <c r="F33" s="72"/>
      <c r="G33" s="90"/>
      <c r="H33" s="94"/>
      <c r="I33" s="95"/>
      <c r="J33" s="96"/>
      <c r="K33" s="90"/>
      <c r="L33" s="72"/>
    </row>
    <row r="34" spans="1:12" x14ac:dyDescent="0.25">
      <c r="A34" s="72"/>
      <c r="B34" s="72"/>
      <c r="C34" s="72"/>
      <c r="D34" s="72"/>
      <c r="E34" s="72"/>
      <c r="F34" s="72"/>
      <c r="G34" s="85" t="s">
        <v>100</v>
      </c>
      <c r="H34" s="86" t="s">
        <v>75</v>
      </c>
      <c r="I34" s="66" t="s">
        <v>172</v>
      </c>
      <c r="J34" s="87" t="s">
        <v>77</v>
      </c>
      <c r="K34" s="72"/>
    </row>
    <row r="35" spans="1:12" x14ac:dyDescent="0.25">
      <c r="A35" s="72"/>
      <c r="B35" s="72"/>
      <c r="C35" s="72"/>
      <c r="D35" s="72"/>
      <c r="E35" s="72"/>
      <c r="F35" s="72"/>
      <c r="G35" s="85" t="s">
        <v>85</v>
      </c>
      <c r="H35" s="86">
        <v>9500</v>
      </c>
      <c r="I35" s="66">
        <v>0</v>
      </c>
      <c r="J35" s="87">
        <f>DépensesPersonnelles[[#This Row],[ESTIMÉ]]-DépensesPersonnelles[[#This Row],[REEL]]</f>
        <v>9500</v>
      </c>
      <c r="K35" s="72"/>
    </row>
    <row r="36" spans="1:12" x14ac:dyDescent="0.25">
      <c r="A36" s="72"/>
      <c r="B36" s="72"/>
      <c r="C36" s="72"/>
      <c r="D36" s="72"/>
      <c r="E36" s="72"/>
      <c r="F36" s="72"/>
      <c r="G36" s="85" t="s">
        <v>86</v>
      </c>
      <c r="H36" s="91">
        <f>SUBTOTAL(109,DépensesPersonnelles[ESTIMÉ])</f>
        <v>9500</v>
      </c>
      <c r="I36" s="92">
        <f>SUBTOTAL(109,DépensesPersonnelles[REEL])</f>
        <v>0</v>
      </c>
      <c r="J36" s="93">
        <f>SUBTOTAL(109,DépensesPersonnelles[DIFFÉRENCE])</f>
        <v>9500</v>
      </c>
      <c r="K36" s="72"/>
    </row>
    <row r="37" spans="1:12" x14ac:dyDescent="0.25">
      <c r="A37" s="72"/>
      <c r="B37" s="72"/>
      <c r="C37" s="72"/>
      <c r="D37" s="72"/>
      <c r="E37" s="72"/>
      <c r="F37" s="72"/>
      <c r="G37" s="90"/>
      <c r="H37" s="94"/>
      <c r="I37" s="95"/>
      <c r="J37" s="96"/>
      <c r="K37" s="72"/>
    </row>
    <row r="38" spans="1:12" x14ac:dyDescent="0.25">
      <c r="A38" s="72"/>
      <c r="B38" s="72"/>
      <c r="C38" s="72"/>
      <c r="D38" s="72"/>
      <c r="E38" s="72"/>
      <c r="F38" s="72"/>
      <c r="G38" s="85" t="s">
        <v>87</v>
      </c>
      <c r="H38" s="91" t="s">
        <v>75</v>
      </c>
      <c r="I38" s="92" t="s">
        <v>172</v>
      </c>
      <c r="J38" s="93" t="s">
        <v>77</v>
      </c>
      <c r="K38" s="72"/>
    </row>
    <row r="39" spans="1:12" x14ac:dyDescent="0.25">
      <c r="A39" s="72"/>
      <c r="B39" s="72"/>
      <c r="C39" s="72"/>
      <c r="D39" s="72"/>
      <c r="E39" s="72"/>
      <c r="F39" s="72"/>
      <c r="G39" s="85" t="s">
        <v>92</v>
      </c>
      <c r="H39" s="86">
        <v>1100</v>
      </c>
      <c r="I39" s="66">
        <v>0</v>
      </c>
      <c r="J39" s="87">
        <f>FraisExploitation[[#This Row],[ESTIMÉ]]-FraisExploitation[[#This Row],[REEL]]</f>
        <v>1100</v>
      </c>
      <c r="K39" s="72"/>
    </row>
    <row r="40" spans="1:12" x14ac:dyDescent="0.25">
      <c r="A40" s="72"/>
      <c r="B40" s="72"/>
      <c r="C40" s="72"/>
      <c r="D40" s="72"/>
      <c r="E40" s="72"/>
      <c r="F40" s="72"/>
      <c r="G40" s="85" t="s">
        <v>88</v>
      </c>
      <c r="H40" s="86"/>
      <c r="I40" s="66">
        <v>0</v>
      </c>
      <c r="J40" s="87">
        <f>FraisExploitation[[#This Row],[ESTIMÉ]]-FraisExploitation[[#This Row],[REEL]]</f>
        <v>0</v>
      </c>
      <c r="K40" s="72"/>
    </row>
    <row r="41" spans="1:12" x14ac:dyDescent="0.25">
      <c r="A41" s="72"/>
      <c r="B41" s="72"/>
      <c r="C41" s="72"/>
      <c r="D41" s="72"/>
      <c r="E41" s="72"/>
      <c r="F41" s="72"/>
      <c r="G41" s="85" t="s">
        <v>93</v>
      </c>
      <c r="H41" s="86"/>
      <c r="I41" s="66">
        <v>0</v>
      </c>
      <c r="J41" s="87">
        <f>FraisExploitation[[#This Row],[ESTIMÉ]]-FraisExploitation[[#This Row],[REEL]]</f>
        <v>0</v>
      </c>
      <c r="K41" s="72"/>
    </row>
    <row r="42" spans="1:12" x14ac:dyDescent="0.25">
      <c r="A42" s="72"/>
      <c r="B42" s="72"/>
      <c r="C42" s="72"/>
      <c r="D42" s="72"/>
      <c r="E42" s="72"/>
      <c r="F42" s="72"/>
      <c r="G42" s="85" t="s">
        <v>94</v>
      </c>
      <c r="H42" s="86"/>
      <c r="I42" s="66">
        <v>0</v>
      </c>
      <c r="J42" s="87">
        <f>FraisExploitation[[#This Row],[ESTIMÉ]]-FraisExploitation[[#This Row],[REEL]]</f>
        <v>0</v>
      </c>
      <c r="K42" s="72"/>
    </row>
    <row r="43" spans="1:12" x14ac:dyDescent="0.25">
      <c r="A43" s="72"/>
      <c r="B43" s="72"/>
      <c r="C43" s="72"/>
      <c r="D43" s="72"/>
      <c r="E43" s="97"/>
      <c r="F43" s="72"/>
      <c r="G43" s="85" t="s">
        <v>90</v>
      </c>
      <c r="H43" s="86"/>
      <c r="I43" s="66">
        <v>0</v>
      </c>
      <c r="J43" s="87">
        <f>FraisExploitation[[#This Row],[ESTIMÉ]]-FraisExploitation[[#This Row],[REEL]]</f>
        <v>0</v>
      </c>
      <c r="K43" s="72"/>
    </row>
    <row r="44" spans="1:12" x14ac:dyDescent="0.25">
      <c r="A44" s="72"/>
      <c r="B44" s="72"/>
      <c r="C44" s="72"/>
      <c r="D44" s="98"/>
      <c r="E44" s="72"/>
      <c r="F44" s="72"/>
      <c r="G44" s="85" t="s">
        <v>89</v>
      </c>
      <c r="H44" s="86"/>
      <c r="I44" s="66">
        <v>0</v>
      </c>
      <c r="J44" s="87">
        <f>FraisExploitation[[#This Row],[ESTIMÉ]]-FraisExploitation[[#This Row],[REEL]]</f>
        <v>0</v>
      </c>
      <c r="K44" s="72"/>
    </row>
    <row r="45" spans="1:12" x14ac:dyDescent="0.25">
      <c r="A45" s="72"/>
      <c r="B45" s="72"/>
      <c r="C45" s="72"/>
      <c r="D45" s="98"/>
      <c r="E45" s="72"/>
      <c r="F45" s="72"/>
      <c r="G45" s="85" t="s">
        <v>98</v>
      </c>
      <c r="H45" s="86"/>
      <c r="I45" s="66">
        <v>0</v>
      </c>
      <c r="J45" s="87">
        <f>FraisExploitation[[#This Row],[ESTIMÉ]]-FraisExploitation[[#This Row],[REEL]]</f>
        <v>0</v>
      </c>
      <c r="K45" s="72"/>
    </row>
    <row r="46" spans="1:12" x14ac:dyDescent="0.25">
      <c r="A46" s="72"/>
      <c r="B46" s="72"/>
      <c r="C46" s="72"/>
      <c r="D46" s="98"/>
      <c r="E46" s="72"/>
      <c r="F46" s="72"/>
      <c r="G46" s="85" t="s">
        <v>95</v>
      </c>
      <c r="H46" s="86"/>
      <c r="I46" s="66">
        <v>0</v>
      </c>
      <c r="J46" s="87">
        <f>FraisExploitation[[#This Row],[ESTIMÉ]]-FraisExploitation[[#This Row],[REEL]]</f>
        <v>0</v>
      </c>
      <c r="K46" s="72"/>
    </row>
    <row r="47" spans="1:12" x14ac:dyDescent="0.25">
      <c r="A47" s="72"/>
      <c r="B47" s="99"/>
      <c r="C47" s="99"/>
      <c r="D47" s="99"/>
      <c r="E47" s="97"/>
      <c r="F47" s="72"/>
      <c r="G47" s="85" t="s">
        <v>96</v>
      </c>
      <c r="H47" s="86"/>
      <c r="I47" s="66">
        <v>0</v>
      </c>
      <c r="J47" s="87">
        <f>FraisExploitation[[#This Row],[ESTIMÉ]]-FraisExploitation[[#This Row],[REEL]]</f>
        <v>0</v>
      </c>
      <c r="K47" s="72"/>
    </row>
    <row r="48" spans="1:12" ht="15.75" x14ac:dyDescent="0.25">
      <c r="A48" s="72"/>
      <c r="B48" s="100"/>
      <c r="C48" s="100"/>
      <c r="D48" s="100"/>
      <c r="E48" s="100"/>
      <c r="F48" s="72"/>
      <c r="G48" s="85" t="s">
        <v>97</v>
      </c>
      <c r="H48" s="86"/>
      <c r="I48" s="66">
        <v>0</v>
      </c>
      <c r="J48" s="87">
        <f>FraisExploitation[[#This Row],[ESTIMÉ]]-FraisExploitation[[#This Row],[REEL]]</f>
        <v>0</v>
      </c>
      <c r="K48" s="72"/>
    </row>
    <row r="49" spans="1:12" x14ac:dyDescent="0.25">
      <c r="A49" s="72"/>
      <c r="B49" s="81"/>
      <c r="C49" s="101"/>
      <c r="D49" s="101"/>
      <c r="E49" s="101"/>
      <c r="F49" s="72"/>
      <c r="G49" s="85"/>
      <c r="H49" s="86"/>
      <c r="I49" s="66">
        <v>0</v>
      </c>
      <c r="J49" s="87">
        <f>FraisExploitation[[#This Row],[ESTIMÉ]]-FraisExploitation[[#This Row],[REEL]]</f>
        <v>0</v>
      </c>
      <c r="K49" s="72"/>
    </row>
    <row r="50" spans="1:12" x14ac:dyDescent="0.25">
      <c r="A50" s="72"/>
      <c r="B50" s="85"/>
      <c r="C50" s="102"/>
      <c r="D50" s="103"/>
      <c r="E50" s="89"/>
      <c r="F50" s="72"/>
      <c r="G50" s="72" t="s">
        <v>4</v>
      </c>
      <c r="H50" s="73">
        <f>SUBTOTAL(109,FraisExploitation[ESTIMÉ])</f>
        <v>1100</v>
      </c>
      <c r="I50" s="74">
        <f>SUBTOTAL(109,FraisExploitation[REEL])</f>
        <v>0</v>
      </c>
      <c r="J50" s="75">
        <f>SUBTOTAL(109,FraisExploitation[DIFFÉRENCE])</f>
        <v>1100</v>
      </c>
      <c r="K50" s="72"/>
    </row>
    <row r="51" spans="1:12" x14ac:dyDescent="0.25">
      <c r="A51" s="72"/>
      <c r="B51" s="85"/>
      <c r="C51" s="104"/>
      <c r="D51" s="103"/>
      <c r="E51" s="89"/>
      <c r="F51" s="72"/>
      <c r="G51" s="72" t="s">
        <v>91</v>
      </c>
      <c r="H51" s="73"/>
      <c r="I51" s="74"/>
      <c r="J51" s="75"/>
      <c r="K51" s="72"/>
    </row>
    <row r="52" spans="1:12" x14ac:dyDescent="0.25">
      <c r="A52" s="72"/>
      <c r="B52" s="85"/>
      <c r="C52" s="104"/>
      <c r="D52" s="103"/>
      <c r="E52" s="89"/>
      <c r="F52" s="72"/>
      <c r="G52" s="72"/>
      <c r="H52" s="73"/>
      <c r="I52" s="74"/>
      <c r="J52" s="75"/>
      <c r="K52" s="72"/>
    </row>
    <row r="53" spans="1:12" x14ac:dyDescent="0.25">
      <c r="A53" s="72"/>
      <c r="B53" s="85"/>
      <c r="C53" s="104"/>
      <c r="D53" s="103"/>
      <c r="E53" s="89"/>
      <c r="F53" s="72"/>
      <c r="G53" s="72"/>
      <c r="H53" s="73"/>
      <c r="I53" s="74"/>
      <c r="J53" s="75"/>
      <c r="K53" s="72"/>
    </row>
    <row r="54" spans="1:12" x14ac:dyDescent="0.25">
      <c r="A54" s="72"/>
      <c r="B54" s="85"/>
      <c r="C54" s="104"/>
      <c r="D54" s="103"/>
      <c r="E54" s="89"/>
      <c r="F54" s="72"/>
      <c r="K54" s="72"/>
    </row>
    <row r="55" spans="1:12" x14ac:dyDescent="0.25">
      <c r="A55" s="72"/>
      <c r="B55" s="85"/>
      <c r="C55" s="105"/>
      <c r="D55" s="106"/>
      <c r="E55" s="89"/>
      <c r="F55" s="72"/>
      <c r="K55" s="72"/>
    </row>
    <row r="56" spans="1:12" x14ac:dyDescent="0.25">
      <c r="A56" s="72"/>
      <c r="B56" s="72"/>
      <c r="C56" s="72"/>
      <c r="D56" s="72"/>
      <c r="E56" s="72"/>
      <c r="F56" s="72"/>
      <c r="K56" s="72"/>
      <c r="L56" s="72"/>
    </row>
    <row r="57" spans="1:12" x14ac:dyDescent="0.25">
      <c r="A57" s="72"/>
      <c r="B57" s="72"/>
      <c r="C57" s="72"/>
      <c r="D57" s="72"/>
      <c r="E57" s="72"/>
      <c r="F57" s="72"/>
      <c r="K57" s="72"/>
      <c r="L57" s="72"/>
    </row>
    <row r="58" spans="1:12" x14ac:dyDescent="0.25">
      <c r="A58" s="72"/>
      <c r="B58" s="72"/>
      <c r="C58" s="72"/>
      <c r="D58" s="72"/>
      <c r="E58" s="72"/>
      <c r="F58" s="72"/>
      <c r="K58" s="72"/>
      <c r="L58" s="72"/>
    </row>
  </sheetData>
  <mergeCells count="2">
    <mergeCell ref="B47:D47"/>
    <mergeCell ref="G7:H7"/>
  </mergeCells>
  <pageMargins left="0.7" right="0.7" top="0.75" bottom="0.75" header="0.3" footer="0.3"/>
  <pageSetup paperSize="9" orientation="portrait" r:id="rId1"/>
  <drawing r:id="rId2"/>
  <tableParts count="4">
    <tablePart r:id="rId3"/>
    <tablePart r:id="rId4"/>
    <tablePart r:id="rId5"/>
    <tablePart r:id="rId6"/>
  </tableParts>
  <extLst>
    <ext xmlns:x14="http://schemas.microsoft.com/office/spreadsheetml/2009/9/main" uri="{78C0D931-6437-407d-A8EE-F0AAD7539E65}">
      <x14:conditionalFormattings>
        <x14:conditionalFormatting xmlns:xm="http://schemas.microsoft.com/office/excel/2006/main">
          <x14:cfRule type="iconSet" priority="4" id="{91354439-5BB4-4BE8-83B2-8F0EAB8370C8}">
            <x14:iconSet iconSet="3Flags" custom="1">
              <x14:cfvo type="percent">
                <xm:f>0</xm:f>
              </x14:cfvo>
              <x14:cfvo type="num">
                <xm:f>0</xm:f>
              </x14:cfvo>
              <x14:cfvo type="num">
                <xm:f>0</xm:f>
              </x14:cfvo>
              <x14:cfIcon iconSet="3Flags" iconId="0"/>
              <x14:cfIcon iconSet="NoIcons" iconId="0"/>
              <x14:cfIcon iconSet="NoIcons" iconId="0"/>
            </x14:iconSet>
          </x14:cfRule>
          <xm:sqref>J39:J49 J35 J23:J31</xm:sqref>
        </x14:conditionalFormatting>
      </x14:conditionalFormattings>
    </ext>
    <ext xmlns:x14="http://schemas.microsoft.com/office/spreadsheetml/2009/9/main" uri="{A8765BA9-456A-4dab-B4F3-ACF838C121DE}">
      <x14:slicerList>
        <x14:slicer r:id="rId7"/>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dimension ref="B9:G37"/>
  <sheetViews>
    <sheetView showGridLines="0" workbookViewId="0">
      <selection activeCell="F9" sqref="F9"/>
    </sheetView>
  </sheetViews>
  <sheetFormatPr baseColWidth="10" defaultColWidth="15.140625" defaultRowHeight="15" x14ac:dyDescent="0.25"/>
  <cols>
    <col min="6" max="6" width="46.140625" customWidth="1"/>
    <col min="7" max="7" width="17" customWidth="1"/>
    <col min="8" max="8" width="15.140625" customWidth="1"/>
  </cols>
  <sheetData>
    <row r="9" spans="6:6" ht="23.25" x14ac:dyDescent="0.25">
      <c r="F9" s="31" t="s">
        <v>105</v>
      </c>
    </row>
    <row r="18" spans="2:7" ht="23.25" x14ac:dyDescent="0.25">
      <c r="F18" s="31" t="s">
        <v>35</v>
      </c>
    </row>
    <row r="21" spans="2:7" ht="15.75" x14ac:dyDescent="0.25">
      <c r="B21" s="7" t="s">
        <v>42</v>
      </c>
      <c r="C21" s="7" t="s">
        <v>36</v>
      </c>
      <c r="D21" s="7" t="s">
        <v>4</v>
      </c>
      <c r="F21" s="10" t="s">
        <v>38</v>
      </c>
      <c r="G21" s="57">
        <v>200</v>
      </c>
    </row>
    <row r="22" spans="2:7" ht="15.75" x14ac:dyDescent="0.25">
      <c r="B22" s="54">
        <v>1</v>
      </c>
      <c r="C22" s="8">
        <v>0.01</v>
      </c>
      <c r="D22" s="9">
        <f>Tableau23[[#This Row],[Nombre]]*Tableau23[[#This Row],[€]]</f>
        <v>0.01</v>
      </c>
      <c r="F22" s="11" t="s">
        <v>43</v>
      </c>
      <c r="G22" s="13">
        <v>781.03</v>
      </c>
    </row>
    <row r="23" spans="2:7" ht="15.75" x14ac:dyDescent="0.25">
      <c r="B23" s="54">
        <v>2</v>
      </c>
      <c r="C23" s="8">
        <v>0.02</v>
      </c>
      <c r="D23" s="9">
        <f>Tableau23[[#This Row],[Nombre]]*Tableau23[[#This Row],[€]]</f>
        <v>0.04</v>
      </c>
      <c r="F23" s="10" t="s">
        <v>44</v>
      </c>
      <c r="G23" s="12">
        <f>D37</f>
        <v>1251.05</v>
      </c>
    </row>
    <row r="24" spans="2:7" ht="18.75" x14ac:dyDescent="0.3">
      <c r="B24" s="54">
        <v>10</v>
      </c>
      <c r="C24" s="8">
        <v>0.05</v>
      </c>
      <c r="D24" s="9">
        <f>Tableau23[[#This Row],[Nombre]]*Tableau23[[#This Row],[€]]</f>
        <v>0.5</v>
      </c>
      <c r="F24" s="11" t="s">
        <v>45</v>
      </c>
      <c r="G24" s="15">
        <f>ABS(G23-G22)</f>
        <v>470.02</v>
      </c>
    </row>
    <row r="25" spans="2:7" ht="23.25" x14ac:dyDescent="0.35">
      <c r="B25" s="54"/>
      <c r="C25" s="8">
        <v>0.1</v>
      </c>
      <c r="D25" s="9">
        <f>Tableau23[[#This Row],[Nombre]]*Tableau23[[#This Row],[€]]</f>
        <v>0</v>
      </c>
      <c r="F25" s="16" t="s">
        <v>39</v>
      </c>
      <c r="G25" s="14">
        <f>G23-G21</f>
        <v>1051.05</v>
      </c>
    </row>
    <row r="26" spans="2:7" ht="15.75" x14ac:dyDescent="0.25">
      <c r="B26" s="54"/>
      <c r="C26" s="8">
        <v>0.2</v>
      </c>
      <c r="D26" s="9">
        <f>Tableau23[[#This Row],[Nombre]]*Tableau23[[#This Row],[€]]</f>
        <v>0</v>
      </c>
    </row>
    <row r="27" spans="2:7" ht="15.75" x14ac:dyDescent="0.25">
      <c r="B27" s="54">
        <v>23</v>
      </c>
      <c r="C27" s="8">
        <v>0.5</v>
      </c>
      <c r="D27" s="9">
        <f>Tableau23[[#This Row],[Nombre]]*Tableau23[[#This Row],[€]]</f>
        <v>11.5</v>
      </c>
    </row>
    <row r="28" spans="2:7" ht="15.75" x14ac:dyDescent="0.25">
      <c r="B28" s="54">
        <v>3</v>
      </c>
      <c r="C28" s="8">
        <v>1</v>
      </c>
      <c r="D28" s="9">
        <f>Tableau23[[#This Row],[Nombre]]*Tableau23[[#This Row],[€]]</f>
        <v>3</v>
      </c>
      <c r="F28" s="11" t="s">
        <v>46</v>
      </c>
      <c r="G28" s="55">
        <v>4</v>
      </c>
    </row>
    <row r="29" spans="2:7" ht="23.25" x14ac:dyDescent="0.35">
      <c r="B29" s="54">
        <v>8</v>
      </c>
      <c r="C29" s="8">
        <v>2</v>
      </c>
      <c r="D29" s="9">
        <f>Tableau23[[#This Row],[Nombre]]*Tableau23[[#This Row],[€]]</f>
        <v>16</v>
      </c>
      <c r="F29" s="16" t="s">
        <v>4</v>
      </c>
      <c r="G29" s="56">
        <v>51</v>
      </c>
    </row>
    <row r="30" spans="2:7" ht="15.75" x14ac:dyDescent="0.25">
      <c r="B30" s="54">
        <v>6</v>
      </c>
      <c r="C30" s="8">
        <v>5</v>
      </c>
      <c r="D30" s="9">
        <f>Tableau23[[#This Row],[Nombre]]*Tableau23[[#This Row],[€]]</f>
        <v>30</v>
      </c>
    </row>
    <row r="31" spans="2:7" ht="15.75" x14ac:dyDescent="0.25">
      <c r="B31" s="54">
        <v>3</v>
      </c>
      <c r="C31" s="8">
        <v>10</v>
      </c>
      <c r="D31" s="9">
        <f>Tableau23[[#This Row],[Nombre]]*Tableau23[[#This Row],[€]]</f>
        <v>30</v>
      </c>
    </row>
    <row r="32" spans="2:7" ht="15.75" x14ac:dyDescent="0.25">
      <c r="B32" s="54">
        <v>3</v>
      </c>
      <c r="C32" s="8">
        <v>20</v>
      </c>
      <c r="D32" s="9">
        <f>Tableau23[[#This Row],[Nombre]]*Tableau23[[#This Row],[€]]</f>
        <v>60</v>
      </c>
    </row>
    <row r="33" spans="2:4" ht="15.75" x14ac:dyDescent="0.25">
      <c r="B33" s="54">
        <v>2</v>
      </c>
      <c r="C33" s="8">
        <v>50</v>
      </c>
      <c r="D33" s="9">
        <f>Tableau23[[#This Row],[Nombre]]*Tableau23[[#This Row],[€]]</f>
        <v>100</v>
      </c>
    </row>
    <row r="34" spans="2:4" ht="15.75" x14ac:dyDescent="0.25">
      <c r="B34" s="54"/>
      <c r="C34" s="8">
        <v>100</v>
      </c>
      <c r="D34" s="9">
        <f>Tableau23[[#This Row],[Nombre]]*Tableau23[[#This Row],[€]]</f>
        <v>0</v>
      </c>
    </row>
    <row r="35" spans="2:4" ht="15.75" x14ac:dyDescent="0.25">
      <c r="B35" s="54"/>
      <c r="C35" s="8">
        <v>200</v>
      </c>
      <c r="D35" s="9">
        <f>Tableau23[[#This Row],[Nombre]]*Tableau23[[#This Row],[€]]</f>
        <v>0</v>
      </c>
    </row>
    <row r="36" spans="2:4" ht="15.75" x14ac:dyDescent="0.25">
      <c r="B36" s="54">
        <v>2</v>
      </c>
      <c r="C36" s="8">
        <v>500</v>
      </c>
      <c r="D36" s="9">
        <f>Tableau23[[#This Row],[Nombre]]*Tableau23[[#This Row],[€]]</f>
        <v>1000</v>
      </c>
    </row>
    <row r="37" spans="2:4" ht="21" x14ac:dyDescent="0.35">
      <c r="B37" s="64" t="s">
        <v>37</v>
      </c>
      <c r="C37" s="64"/>
      <c r="D37" s="17">
        <f>SUM(Tableau23[Total])</f>
        <v>1251.05</v>
      </c>
    </row>
  </sheetData>
  <sheetProtection sheet="1" objects="1" scenarios="1"/>
  <mergeCells count="1">
    <mergeCell ref="B37:C37"/>
  </mergeCells>
  <conditionalFormatting sqref="G24">
    <cfRule type="cellIs" dxfId="60" priority="1" operator="greaterThan">
      <formula>10</formula>
    </cfRule>
    <cfRule type="cellIs" dxfId="59" priority="2" operator="equal">
      <formula>0</formula>
    </cfRule>
    <cfRule type="cellIs" dxfId="58" priority="3" operator="between">
      <formula>0</formula>
      <formula>10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Scroll Bar 1">
              <controlPr defaultSize="0" autoPict="0" macro="[0]!Barrededéfilement1_QuandChangement">
                <anchor moveWithCells="1">
                  <from>
                    <xdr:col>1</xdr:col>
                    <xdr:colOff>47625</xdr:colOff>
                    <xdr:row>13</xdr:row>
                    <xdr:rowOff>85725</xdr:rowOff>
                  </from>
                  <to>
                    <xdr:col>5</xdr:col>
                    <xdr:colOff>114300</xdr:colOff>
                    <xdr:row>15</xdr:row>
                    <xdr:rowOff>76200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9:I40"/>
  <sheetViews>
    <sheetView showGridLines="0" topLeftCell="A10" workbookViewId="0">
      <selection activeCell="L18" sqref="L18"/>
    </sheetView>
  </sheetViews>
  <sheetFormatPr baseColWidth="10" defaultRowHeight="15" x14ac:dyDescent="0.25"/>
  <cols>
    <col min="1" max="1" width="11.28515625" style="6" customWidth="1"/>
    <col min="2" max="2" width="13" style="6" customWidth="1"/>
    <col min="3" max="3" width="12.5703125" style="18" customWidth="1"/>
    <col min="4" max="4" width="17" style="23" customWidth="1"/>
    <col min="5" max="5" width="15.42578125" style="26" customWidth="1"/>
    <col min="6" max="6" width="12.5703125" style="23" customWidth="1"/>
    <col min="7" max="7" width="15.42578125" style="23" bestFit="1" customWidth="1"/>
    <col min="8" max="8" width="15" style="23" bestFit="1" customWidth="1"/>
    <col min="9" max="9" width="28.28515625" style="19" customWidth="1"/>
    <col min="10" max="10" width="7" style="6" customWidth="1"/>
    <col min="11" max="16384" width="11.42578125" style="6"/>
  </cols>
  <sheetData>
    <row r="9" spans="2:9" ht="23.25" x14ac:dyDescent="0.25">
      <c r="G9" s="65" t="s">
        <v>111</v>
      </c>
      <c r="H9" s="65"/>
    </row>
    <row r="11" spans="2:9" s="18" customFormat="1" x14ac:dyDescent="0.25">
      <c r="D11" s="21"/>
      <c r="F11" s="21"/>
      <c r="G11" s="21"/>
      <c r="H11" s="21"/>
      <c r="I11" s="19"/>
    </row>
    <row r="13" spans="2:9" ht="30" x14ac:dyDescent="0.25">
      <c r="B13" s="18" t="s">
        <v>7</v>
      </c>
      <c r="C13" s="18" t="s">
        <v>105</v>
      </c>
      <c r="D13" s="21" t="s">
        <v>106</v>
      </c>
      <c r="E13" s="18" t="s">
        <v>107</v>
      </c>
      <c r="F13" s="21" t="s">
        <v>108</v>
      </c>
      <c r="G13" s="21" t="s">
        <v>109</v>
      </c>
      <c r="H13" s="21" t="s">
        <v>110</v>
      </c>
      <c r="I13" s="21" t="s">
        <v>51</v>
      </c>
    </row>
    <row r="14" spans="2:9" x14ac:dyDescent="0.25">
      <c r="B14" s="29">
        <v>41368</v>
      </c>
      <c r="C14" s="18">
        <v>5</v>
      </c>
      <c r="D14" s="23">
        <v>200</v>
      </c>
      <c r="E14" s="26">
        <v>2</v>
      </c>
      <c r="F14" s="23">
        <v>32</v>
      </c>
      <c r="G14" s="23">
        <v>32</v>
      </c>
      <c r="H14" s="23">
        <f t="shared" ref="H14:H19" si="0">IF(ISERROR(H13+G14),G14,H13+G14)</f>
        <v>32</v>
      </c>
      <c r="I14" s="22"/>
    </row>
    <row r="15" spans="2:9" x14ac:dyDescent="0.25">
      <c r="B15" s="29">
        <v>41390</v>
      </c>
      <c r="C15" s="18">
        <v>5</v>
      </c>
      <c r="D15" s="23">
        <v>246.2</v>
      </c>
      <c r="E15" s="26">
        <v>2</v>
      </c>
      <c r="F15" s="23">
        <v>32</v>
      </c>
      <c r="G15" s="23">
        <v>78.199999999999989</v>
      </c>
      <c r="H15" s="23">
        <f t="shared" si="0"/>
        <v>110.19999999999999</v>
      </c>
      <c r="I15" s="22"/>
    </row>
    <row r="16" spans="2:9" x14ac:dyDescent="0.25">
      <c r="B16" s="29">
        <v>41391</v>
      </c>
      <c r="C16" s="18">
        <v>1</v>
      </c>
      <c r="D16" s="23">
        <v>200.2</v>
      </c>
      <c r="E16" s="26">
        <v>2</v>
      </c>
      <c r="F16" s="23">
        <v>32</v>
      </c>
      <c r="G16" s="23">
        <v>32.199999999999989</v>
      </c>
      <c r="H16" s="23">
        <f t="shared" si="0"/>
        <v>142.39999999999998</v>
      </c>
      <c r="I16" s="22"/>
    </row>
    <row r="17" spans="1:9" x14ac:dyDescent="0.25">
      <c r="B17" s="29">
        <v>41392</v>
      </c>
      <c r="C17" s="18">
        <v>4</v>
      </c>
      <c r="D17" s="23">
        <v>318.7</v>
      </c>
      <c r="E17" s="26">
        <v>2</v>
      </c>
      <c r="F17" s="23">
        <v>32</v>
      </c>
      <c r="G17" s="23">
        <v>150.69999999999999</v>
      </c>
      <c r="H17" s="23">
        <f t="shared" si="0"/>
        <v>293.09999999999997</v>
      </c>
      <c r="I17" s="22"/>
    </row>
    <row r="18" spans="1:9" x14ac:dyDescent="0.25">
      <c r="B18" s="29">
        <v>41397</v>
      </c>
      <c r="C18" s="18">
        <v>4</v>
      </c>
      <c r="D18" s="23">
        <v>318.7</v>
      </c>
      <c r="E18" s="26">
        <v>2</v>
      </c>
      <c r="F18" s="23">
        <v>32</v>
      </c>
      <c r="G18" s="23">
        <v>150.69999999999999</v>
      </c>
      <c r="H18" s="23">
        <f t="shared" si="0"/>
        <v>443.79999999999995</v>
      </c>
      <c r="I18" s="22"/>
    </row>
    <row r="19" spans="1:9" x14ac:dyDescent="0.25">
      <c r="B19" s="29">
        <v>41399</v>
      </c>
      <c r="C19" s="18">
        <v>1</v>
      </c>
      <c r="D19" s="23">
        <v>1251.04</v>
      </c>
      <c r="E19" s="26">
        <v>4</v>
      </c>
      <c r="F19" s="23">
        <v>51</v>
      </c>
      <c r="G19" s="23">
        <v>1102.04</v>
      </c>
      <c r="H19" s="23">
        <f t="shared" si="0"/>
        <v>1545.84</v>
      </c>
      <c r="I19" s="22"/>
    </row>
    <row r="20" spans="1:9" x14ac:dyDescent="0.25">
      <c r="B20" s="29">
        <v>41393</v>
      </c>
      <c r="C20" s="18">
        <v>4</v>
      </c>
      <c r="D20" s="23">
        <v>1251.05</v>
      </c>
      <c r="E20" s="26">
        <v>4</v>
      </c>
      <c r="F20" s="23">
        <v>51</v>
      </c>
      <c r="G20" s="23">
        <v>1102.05</v>
      </c>
      <c r="H20" s="23">
        <f>IF(ISERROR(H19+G20),G20,H19+G20)</f>
        <v>2647.89</v>
      </c>
      <c r="I20" s="22"/>
    </row>
    <row r="21" spans="1:9" x14ac:dyDescent="0.25">
      <c r="B21" s="29">
        <v>41396</v>
      </c>
      <c r="C21" s="18">
        <v>4</v>
      </c>
      <c r="D21" s="23">
        <v>1251.05</v>
      </c>
      <c r="E21" s="26">
        <v>4</v>
      </c>
      <c r="F21" s="23">
        <v>51</v>
      </c>
      <c r="G21" s="23">
        <v>1102.05</v>
      </c>
      <c r="H21" s="23">
        <f>IF(ISERROR(H20+G21),G21,H20+G21)</f>
        <v>3749.9399999999996</v>
      </c>
      <c r="I21" s="22" t="s">
        <v>171</v>
      </c>
    </row>
    <row r="23" spans="1:9" x14ac:dyDescent="0.25">
      <c r="C23" s="58"/>
      <c r="D23"/>
      <c r="E23" s="49"/>
      <c r="F23"/>
    </row>
    <row r="24" spans="1:9" x14ac:dyDescent="0.25">
      <c r="C24" s="58"/>
      <c r="D24"/>
      <c r="E24" s="49"/>
      <c r="F24"/>
    </row>
    <row r="25" spans="1:9" x14ac:dyDescent="0.25">
      <c r="C25" s="58"/>
    </row>
    <row r="26" spans="1:9" x14ac:dyDescent="0.25">
      <c r="C26" s="58"/>
    </row>
    <row r="27" spans="1:9" x14ac:dyDescent="0.25">
      <c r="C27" s="58"/>
    </row>
    <row r="28" spans="1:9" x14ac:dyDescent="0.25">
      <c r="A28"/>
      <c r="C28" s="58"/>
    </row>
    <row r="29" spans="1:9" x14ac:dyDescent="0.25">
      <c r="A29"/>
      <c r="C29" s="58"/>
    </row>
    <row r="30" spans="1:9" x14ac:dyDescent="0.25">
      <c r="A30"/>
      <c r="B30"/>
      <c r="C30" s="58"/>
    </row>
    <row r="31" spans="1:9" x14ac:dyDescent="0.25">
      <c r="A31"/>
      <c r="B31"/>
      <c r="C31" s="58"/>
    </row>
    <row r="32" spans="1:9" x14ac:dyDescent="0.25">
      <c r="A32"/>
      <c r="B32"/>
      <c r="C32" s="58"/>
    </row>
    <row r="33" spans="1:3" x14ac:dyDescent="0.25">
      <c r="A33"/>
      <c r="B33"/>
      <c r="C33" s="58"/>
    </row>
    <row r="34" spans="1:3" x14ac:dyDescent="0.25">
      <c r="A34"/>
      <c r="B34"/>
      <c r="C34" s="58"/>
    </row>
    <row r="35" spans="1:3" x14ac:dyDescent="0.25">
      <c r="A35"/>
      <c r="B35"/>
      <c r="C35" s="58"/>
    </row>
    <row r="36" spans="1:3" x14ac:dyDescent="0.25">
      <c r="A36"/>
      <c r="B36"/>
      <c r="C36" s="58"/>
    </row>
    <row r="37" spans="1:3" x14ac:dyDescent="0.25">
      <c r="A37"/>
      <c r="B37"/>
      <c r="C37" s="58"/>
    </row>
    <row r="38" spans="1:3" x14ac:dyDescent="0.25">
      <c r="A38"/>
      <c r="B38"/>
      <c r="C38" s="58"/>
    </row>
    <row r="39" spans="1:3" x14ac:dyDescent="0.25">
      <c r="B39"/>
      <c r="C39" s="58"/>
    </row>
    <row r="40" spans="1:3" x14ac:dyDescent="0.25">
      <c r="B40"/>
      <c r="C40" s="58"/>
    </row>
  </sheetData>
  <mergeCells count="1">
    <mergeCell ref="G9:H9"/>
  </mergeCell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G8"/>
  <sheetViews>
    <sheetView showGridLines="0" zoomScale="90" zoomScaleNormal="90" workbookViewId="0">
      <selection activeCell="J5" sqref="J5"/>
    </sheetView>
  </sheetViews>
  <sheetFormatPr baseColWidth="10" defaultColWidth="14" defaultRowHeight="15" x14ac:dyDescent="0.25"/>
  <cols>
    <col min="7" max="7" width="21" bestFit="1" customWidth="1"/>
    <col min="8" max="8" width="22.85546875" bestFit="1" customWidth="1"/>
  </cols>
  <sheetData>
    <row r="8" spans="7:7" ht="23.25" x14ac:dyDescent="0.35">
      <c r="G8" s="2" t="s">
        <v>41</v>
      </c>
    </row>
  </sheetData>
  <sheetProtection sheet="1" objects="1" scenarios="1"/>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B21"/>
  <sheetViews>
    <sheetView workbookViewId="0">
      <selection activeCell="A3" sqref="A3"/>
    </sheetView>
  </sheetViews>
  <sheetFormatPr baseColWidth="10" defaultRowHeight="15" x14ac:dyDescent="0.25"/>
  <cols>
    <col min="1" max="1" width="19.7109375" customWidth="1"/>
    <col min="2" max="2" width="22" customWidth="1"/>
  </cols>
  <sheetData>
    <row r="1" spans="1:2" x14ac:dyDescent="0.25">
      <c r="A1" t="s">
        <v>10</v>
      </c>
    </row>
    <row r="3" spans="1:2" x14ac:dyDescent="0.25">
      <c r="A3">
        <v>1</v>
      </c>
      <c r="B3" t="s">
        <v>11</v>
      </c>
    </row>
    <row r="4" spans="1:2" x14ac:dyDescent="0.25">
      <c r="A4">
        <v>2</v>
      </c>
      <c r="B4" t="s">
        <v>12</v>
      </c>
    </row>
    <row r="5" spans="1:2" x14ac:dyDescent="0.25">
      <c r="A5">
        <v>3</v>
      </c>
      <c r="B5" t="s">
        <v>29</v>
      </c>
    </row>
    <row r="6" spans="1:2" x14ac:dyDescent="0.25">
      <c r="A6">
        <v>4</v>
      </c>
      <c r="B6" t="s">
        <v>28</v>
      </c>
    </row>
    <row r="7" spans="1:2" x14ac:dyDescent="0.25">
      <c r="A7">
        <v>5</v>
      </c>
      <c r="B7" t="s">
        <v>27</v>
      </c>
    </row>
    <row r="8" spans="1:2" x14ac:dyDescent="0.25">
      <c r="A8">
        <v>6</v>
      </c>
      <c r="B8" t="s">
        <v>26</v>
      </c>
    </row>
    <row r="9" spans="1:2" x14ac:dyDescent="0.25">
      <c r="A9">
        <v>7</v>
      </c>
      <c r="B9" t="s">
        <v>25</v>
      </c>
    </row>
    <row r="10" spans="1:2" x14ac:dyDescent="0.25">
      <c r="A10">
        <v>8</v>
      </c>
      <c r="B10" t="s">
        <v>24</v>
      </c>
    </row>
    <row r="11" spans="1:2" x14ac:dyDescent="0.25">
      <c r="A11">
        <v>9</v>
      </c>
      <c r="B11" t="s">
        <v>23</v>
      </c>
    </row>
    <row r="12" spans="1:2" x14ac:dyDescent="0.25">
      <c r="A12">
        <v>10</v>
      </c>
      <c r="B12" t="s">
        <v>22</v>
      </c>
    </row>
    <row r="13" spans="1:2" x14ac:dyDescent="0.25">
      <c r="A13">
        <v>11</v>
      </c>
      <c r="B13" t="s">
        <v>20</v>
      </c>
    </row>
    <row r="14" spans="1:2" x14ac:dyDescent="0.25">
      <c r="A14">
        <v>12</v>
      </c>
      <c r="B14" t="s">
        <v>19</v>
      </c>
    </row>
    <row r="15" spans="1:2" x14ac:dyDescent="0.25">
      <c r="A15">
        <v>13</v>
      </c>
      <c r="B15" t="s">
        <v>21</v>
      </c>
    </row>
    <row r="16" spans="1:2" x14ac:dyDescent="0.25">
      <c r="A16">
        <v>14</v>
      </c>
      <c r="B16" t="s">
        <v>18</v>
      </c>
    </row>
    <row r="17" spans="1:2" x14ac:dyDescent="0.25">
      <c r="A17">
        <v>15</v>
      </c>
      <c r="B17" t="s">
        <v>17</v>
      </c>
    </row>
    <row r="18" spans="1:2" x14ac:dyDescent="0.25">
      <c r="A18">
        <v>16</v>
      </c>
      <c r="B18" t="s">
        <v>16</v>
      </c>
    </row>
    <row r="19" spans="1:2" x14ac:dyDescent="0.25">
      <c r="A19">
        <v>17</v>
      </c>
      <c r="B19" t="s">
        <v>15</v>
      </c>
    </row>
    <row r="20" spans="1:2" x14ac:dyDescent="0.25">
      <c r="A20">
        <v>18</v>
      </c>
      <c r="B20" t="s">
        <v>14</v>
      </c>
    </row>
    <row r="21" spans="1:2" x14ac:dyDescent="0.25">
      <c r="A21">
        <v>19</v>
      </c>
      <c r="B21" t="s">
        <v>13</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I43"/>
  <sheetViews>
    <sheetView topLeftCell="B28" workbookViewId="0">
      <selection activeCell="F43" sqref="F43"/>
    </sheetView>
  </sheetViews>
  <sheetFormatPr baseColWidth="10" defaultRowHeight="15" x14ac:dyDescent="0.25"/>
  <cols>
    <col min="1" max="1" width="15.28515625" customWidth="1"/>
    <col min="2" max="2" width="8.85546875" customWidth="1"/>
    <col min="3" max="3" width="3" customWidth="1"/>
    <col min="4" max="4" width="5" customWidth="1"/>
    <col min="5" max="5" width="4" customWidth="1"/>
    <col min="6" max="6" width="12.5703125" bestFit="1" customWidth="1"/>
    <col min="8" max="8" width="21" customWidth="1"/>
    <col min="9" max="9" width="15.28515625" customWidth="1"/>
    <col min="10" max="10" width="2" customWidth="1"/>
    <col min="11" max="13" width="3" customWidth="1"/>
    <col min="14" max="14" width="5" customWidth="1"/>
    <col min="15" max="15" width="9.7109375" customWidth="1"/>
    <col min="16" max="16" width="12.5703125" bestFit="1" customWidth="1"/>
  </cols>
  <sheetData>
    <row r="1" spans="1:9" x14ac:dyDescent="0.25">
      <c r="A1" s="33" t="s">
        <v>113</v>
      </c>
      <c r="B1" t="s">
        <v>114</v>
      </c>
    </row>
    <row r="2" spans="1:9" x14ac:dyDescent="0.25">
      <c r="A2" s="34">
        <v>1</v>
      </c>
      <c r="B2" s="32">
        <v>567.12</v>
      </c>
    </row>
    <row r="3" spans="1:9" x14ac:dyDescent="0.25">
      <c r="A3" s="34">
        <v>4</v>
      </c>
      <c r="B3" s="32">
        <v>467.81666666666661</v>
      </c>
    </row>
    <row r="4" spans="1:9" x14ac:dyDescent="0.25">
      <c r="A4" s="34">
        <v>5</v>
      </c>
      <c r="B4" s="32">
        <v>55.099999999999994</v>
      </c>
    </row>
    <row r="5" spans="1:9" x14ac:dyDescent="0.25">
      <c r="A5" s="34" t="s">
        <v>112</v>
      </c>
      <c r="B5" s="32">
        <v>378.27</v>
      </c>
    </row>
    <row r="10" spans="1:9" x14ac:dyDescent="0.25">
      <c r="A10" s="33" t="s">
        <v>9</v>
      </c>
      <c r="B10" t="s">
        <v>115</v>
      </c>
    </row>
    <row r="11" spans="1:9" x14ac:dyDescent="0.25">
      <c r="A11" s="33" t="s">
        <v>117</v>
      </c>
      <c r="B11" t="s">
        <v>115</v>
      </c>
    </row>
    <row r="13" spans="1:9" x14ac:dyDescent="0.25">
      <c r="A13" s="33" t="s">
        <v>113</v>
      </c>
      <c r="B13" t="s">
        <v>116</v>
      </c>
    </row>
    <row r="14" spans="1:9" x14ac:dyDescent="0.25">
      <c r="A14" s="34" t="s">
        <v>131</v>
      </c>
      <c r="B14" s="32">
        <v>52.5</v>
      </c>
      <c r="H14" s="34"/>
      <c r="I14" s="32"/>
    </row>
    <row r="15" spans="1:9" x14ac:dyDescent="0.25">
      <c r="A15" s="34" t="s">
        <v>118</v>
      </c>
      <c r="B15" s="32">
        <v>5.2899999999999991</v>
      </c>
      <c r="H15" s="34"/>
      <c r="I15" s="32"/>
    </row>
    <row r="16" spans="1:9" x14ac:dyDescent="0.25">
      <c r="A16" s="34" t="s">
        <v>129</v>
      </c>
      <c r="B16" s="32">
        <v>10</v>
      </c>
      <c r="H16" s="34"/>
      <c r="I16" s="32"/>
    </row>
    <row r="17" spans="1:9" x14ac:dyDescent="0.25">
      <c r="A17" s="34" t="s">
        <v>133</v>
      </c>
      <c r="B17" s="32">
        <v>220</v>
      </c>
      <c r="H17" s="34"/>
      <c r="I17" s="32"/>
    </row>
    <row r="18" spans="1:9" x14ac:dyDescent="0.25">
      <c r="A18" s="34" t="s">
        <v>162</v>
      </c>
      <c r="B18" s="32">
        <v>9</v>
      </c>
      <c r="H18" s="34"/>
      <c r="I18" s="32"/>
    </row>
    <row r="19" spans="1:9" x14ac:dyDescent="0.25">
      <c r="A19" s="34" t="s">
        <v>112</v>
      </c>
      <c r="B19" s="32">
        <v>296.78999999999996</v>
      </c>
      <c r="H19" s="34"/>
      <c r="I19" s="32"/>
    </row>
    <row r="22" spans="1:9" x14ac:dyDescent="0.25">
      <c r="A22" s="33" t="s">
        <v>117</v>
      </c>
      <c r="B22" t="s">
        <v>115</v>
      </c>
    </row>
    <row r="23" spans="1:9" x14ac:dyDescent="0.25">
      <c r="A23" s="33" t="s">
        <v>9</v>
      </c>
      <c r="B23" t="s">
        <v>115</v>
      </c>
    </row>
    <row r="25" spans="1:9" x14ac:dyDescent="0.25">
      <c r="A25" s="33" t="s">
        <v>113</v>
      </c>
      <c r="B25" t="s">
        <v>116</v>
      </c>
    </row>
    <row r="26" spans="1:9" x14ac:dyDescent="0.25">
      <c r="A26" s="34" t="s">
        <v>58</v>
      </c>
      <c r="B26" s="32">
        <v>55.29</v>
      </c>
    </row>
    <row r="27" spans="1:9" x14ac:dyDescent="0.25">
      <c r="A27" s="34" t="s">
        <v>65</v>
      </c>
      <c r="B27" s="32">
        <v>131</v>
      </c>
    </row>
    <row r="28" spans="1:9" x14ac:dyDescent="0.25">
      <c r="A28" s="34" t="s">
        <v>148</v>
      </c>
      <c r="B28" s="32">
        <v>79.5</v>
      </c>
    </row>
    <row r="29" spans="1:9" x14ac:dyDescent="0.25">
      <c r="A29" s="34" t="s">
        <v>73</v>
      </c>
      <c r="B29" s="32">
        <v>10</v>
      </c>
    </row>
    <row r="30" spans="1:9" x14ac:dyDescent="0.25">
      <c r="A30" s="34" t="s">
        <v>151</v>
      </c>
      <c r="B30" s="32">
        <v>21</v>
      </c>
    </row>
    <row r="31" spans="1:9" x14ac:dyDescent="0.25">
      <c r="A31" s="34" t="s">
        <v>112</v>
      </c>
      <c r="B31" s="32">
        <v>296.78999999999996</v>
      </c>
    </row>
    <row r="34" spans="1:6" x14ac:dyDescent="0.25">
      <c r="A34" s="33" t="s">
        <v>116</v>
      </c>
      <c r="B34" s="33" t="s">
        <v>161</v>
      </c>
    </row>
    <row r="35" spans="1:6" x14ac:dyDescent="0.25">
      <c r="A35" s="33" t="s">
        <v>113</v>
      </c>
      <c r="B35">
        <v>1</v>
      </c>
      <c r="C35">
        <v>2</v>
      </c>
      <c r="D35">
        <v>3</v>
      </c>
      <c r="E35">
        <v>4</v>
      </c>
      <c r="F35" t="s">
        <v>112</v>
      </c>
    </row>
    <row r="36" spans="1:6" x14ac:dyDescent="0.25">
      <c r="A36" s="34" t="s">
        <v>160</v>
      </c>
      <c r="B36" s="32"/>
      <c r="C36" s="32"/>
      <c r="D36" s="32"/>
      <c r="E36" s="32">
        <v>40</v>
      </c>
      <c r="F36" s="32">
        <v>40</v>
      </c>
    </row>
    <row r="37" spans="1:6" x14ac:dyDescent="0.25">
      <c r="A37" s="48" t="s">
        <v>158</v>
      </c>
      <c r="B37" s="32"/>
      <c r="C37" s="32"/>
      <c r="D37" s="32"/>
      <c r="E37" s="32">
        <v>40</v>
      </c>
      <c r="F37" s="32">
        <v>40</v>
      </c>
    </row>
    <row r="38" spans="1:6" x14ac:dyDescent="0.25">
      <c r="A38" s="34" t="s">
        <v>159</v>
      </c>
      <c r="B38" s="32">
        <v>5.2899999999999991</v>
      </c>
      <c r="C38" s="32">
        <v>19</v>
      </c>
      <c r="D38" s="32">
        <v>52.5</v>
      </c>
      <c r="E38" s="32">
        <v>180</v>
      </c>
      <c r="F38" s="32">
        <v>256.79000000000002</v>
      </c>
    </row>
    <row r="39" spans="1:6" x14ac:dyDescent="0.25">
      <c r="A39" s="48" t="s">
        <v>154</v>
      </c>
      <c r="B39" s="32"/>
      <c r="C39" s="32"/>
      <c r="D39" s="32">
        <v>11</v>
      </c>
      <c r="E39" s="32"/>
      <c r="F39" s="32">
        <v>11</v>
      </c>
    </row>
    <row r="40" spans="1:6" x14ac:dyDescent="0.25">
      <c r="A40" s="48" t="s">
        <v>155</v>
      </c>
      <c r="B40" s="32">
        <v>2.76</v>
      </c>
      <c r="C40" s="32"/>
      <c r="D40" s="32"/>
      <c r="E40" s="32"/>
      <c r="F40" s="32">
        <v>2.76</v>
      </c>
    </row>
    <row r="41" spans="1:6" x14ac:dyDescent="0.25">
      <c r="A41" s="48" t="s">
        <v>156</v>
      </c>
      <c r="B41" s="32"/>
      <c r="C41" s="32">
        <v>14</v>
      </c>
      <c r="D41" s="32">
        <v>20.5</v>
      </c>
      <c r="E41" s="32">
        <v>60</v>
      </c>
      <c r="F41" s="32">
        <v>94.5</v>
      </c>
    </row>
    <row r="42" spans="1:6" x14ac:dyDescent="0.25">
      <c r="A42" s="48" t="s">
        <v>157</v>
      </c>
      <c r="B42" s="32">
        <v>2.5299999999999998</v>
      </c>
      <c r="C42" s="32">
        <v>5</v>
      </c>
      <c r="D42" s="32">
        <v>21</v>
      </c>
      <c r="E42" s="32">
        <v>120</v>
      </c>
      <c r="F42" s="32">
        <v>148.53</v>
      </c>
    </row>
    <row r="43" spans="1:6" x14ac:dyDescent="0.25">
      <c r="A43" s="34" t="s">
        <v>112</v>
      </c>
      <c r="B43" s="32">
        <v>5.2899999999999991</v>
      </c>
      <c r="C43" s="32">
        <v>19</v>
      </c>
      <c r="D43" s="32">
        <v>52.5</v>
      </c>
      <c r="E43" s="32">
        <v>220</v>
      </c>
      <c r="F43" s="32">
        <v>296.78999999999996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B5"/>
  <sheetViews>
    <sheetView workbookViewId="0">
      <selection activeCell="D15" sqref="D15"/>
    </sheetView>
  </sheetViews>
  <sheetFormatPr baseColWidth="10" defaultRowHeight="15" x14ac:dyDescent="0.25"/>
  <cols>
    <col min="1" max="1" width="15.28515625" bestFit="1" customWidth="1"/>
    <col min="2" max="2" width="8.85546875" bestFit="1" customWidth="1"/>
  </cols>
  <sheetData>
    <row r="1" spans="1:2" x14ac:dyDescent="0.25">
      <c r="A1" s="33" t="s">
        <v>153</v>
      </c>
      <c r="B1" t="s">
        <v>115</v>
      </c>
    </row>
    <row r="2" spans="1:2" x14ac:dyDescent="0.25">
      <c r="A2" s="33" t="s">
        <v>117</v>
      </c>
      <c r="B2" t="s">
        <v>115</v>
      </c>
    </row>
    <row r="4" spans="1:2" x14ac:dyDescent="0.25">
      <c r="A4" t="s">
        <v>116</v>
      </c>
    </row>
    <row r="5" spans="1:2" x14ac:dyDescent="0.25">
      <c r="A5" s="32">
        <v>296.78999999999996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1</vt:i4>
      </vt:variant>
    </vt:vector>
  </HeadingPairs>
  <TitlesOfParts>
    <vt:vector size="15" baseType="lpstr">
      <vt:lpstr>Menu</vt:lpstr>
      <vt:lpstr>Gestion des produits</vt:lpstr>
      <vt:lpstr>Gestion des fournisseurs</vt:lpstr>
      <vt:lpstr>Gestion des stocks</vt:lpstr>
      <vt:lpstr>Journal des achats</vt:lpstr>
      <vt:lpstr>Journal des ventes</vt:lpstr>
      <vt:lpstr>Vue des stocks</vt:lpstr>
      <vt:lpstr>Budget Mensuel</vt:lpstr>
      <vt:lpstr>Fiche de caisse</vt:lpstr>
      <vt:lpstr>Historique journée</vt:lpstr>
      <vt:lpstr>Tableau de bord</vt:lpstr>
      <vt:lpstr>Code caisse</vt:lpstr>
      <vt:lpstr>TableauxDynamiques</vt:lpstr>
      <vt:lpstr>BudgetDynamique</vt:lpstr>
      <vt:lpstr>ZoneProduits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Claire</dc:creator>
  <cp:lastModifiedBy>marine mansier</cp:lastModifiedBy>
  <dcterms:created xsi:type="dcterms:W3CDTF">2013-04-08T14:38:55Z</dcterms:created>
  <dcterms:modified xsi:type="dcterms:W3CDTF">2013-05-03T09:08:05Z</dcterms:modified>
</cp:coreProperties>
</file>