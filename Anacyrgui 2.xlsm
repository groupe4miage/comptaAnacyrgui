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tables/table2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drawings/drawing6.xml" ContentType="application/vnd.openxmlformats-officedocument.drawing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30" windowWidth="14115" windowHeight="7230" tabRatio="854" activeTab="1"/>
  </bookViews>
  <sheets>
    <sheet name="Menu" sheetId="4" r:id="rId1"/>
    <sheet name="Gestion des produits" sheetId="8" r:id="rId2"/>
    <sheet name="Gestion des fournisseurs" sheetId="10" r:id="rId3"/>
    <sheet name="Gestion des stocks" sheetId="1" r:id="rId4"/>
    <sheet name="Journal des achats" sheetId="15" r:id="rId5"/>
    <sheet name="Journal des ventes" sheetId="16" r:id="rId6"/>
    <sheet name="Vue des stocks" sheetId="17" r:id="rId7"/>
    <sheet name="Bilan" sheetId="3" r:id="rId8"/>
    <sheet name="Compte de résultat" sheetId="5" r:id="rId9"/>
    <sheet name="Tableau de bord" sheetId="13" r:id="rId10"/>
    <sheet name="Fiche de caisse" sheetId="14" r:id="rId11"/>
    <sheet name="Calcul du cout des stocks" sheetId="7" r:id="rId12"/>
    <sheet name="Code caisse" sheetId="9" r:id="rId13"/>
  </sheets>
  <calcPr calcId="145621"/>
</workbook>
</file>

<file path=xl/calcChain.xml><?xml version="1.0" encoding="utf-8"?>
<calcChain xmlns="http://schemas.openxmlformats.org/spreadsheetml/2006/main">
  <c r="C32" i="8" l="1"/>
  <c r="C21" i="10"/>
  <c r="C27" i="8" l="1"/>
  <c r="C26" i="8"/>
  <c r="C21" i="8"/>
  <c r="C20" i="10"/>
  <c r="C20" i="8"/>
  <c r="K22" i="16"/>
  <c r="K21" i="16" l="1"/>
  <c r="K20" i="16"/>
  <c r="K19" i="16"/>
  <c r="K18" i="16"/>
  <c r="C19" i="10" l="1"/>
  <c r="C31" i="8"/>
  <c r="C25" i="8"/>
  <c r="C19" i="8" l="1"/>
  <c r="K17" i="16"/>
  <c r="K16" i="16"/>
  <c r="K15" i="16"/>
  <c r="C18" i="8" l="1"/>
  <c r="D12" i="14" l="1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C18" i="10"/>
  <c r="C17" i="10"/>
  <c r="C30" i="8" l="1"/>
  <c r="C24" i="8" l="1"/>
  <c r="C17" i="8" l="1"/>
  <c r="C16" i="8"/>
  <c r="D27" i="14" l="1"/>
  <c r="D78" i="8"/>
  <c r="C78" i="8"/>
  <c r="D75" i="8"/>
  <c r="C75" i="8"/>
  <c r="D72" i="8"/>
  <c r="C72" i="8"/>
  <c r="D69" i="8"/>
  <c r="C69" i="8"/>
  <c r="D66" i="8"/>
  <c r="C66" i="8"/>
  <c r="D63" i="8"/>
  <c r="C63" i="8"/>
  <c r="D60" i="8"/>
  <c r="C60" i="8"/>
  <c r="D57" i="8"/>
  <c r="C57" i="8"/>
  <c r="D54" i="8"/>
  <c r="C54" i="8"/>
  <c r="D51" i="8"/>
  <c r="C51" i="8"/>
  <c r="D48" i="8"/>
  <c r="C48" i="8"/>
  <c r="D45" i="8"/>
  <c r="C45" i="8"/>
  <c r="D42" i="8"/>
  <c r="C42" i="8"/>
  <c r="C39" i="8"/>
  <c r="D39" i="8"/>
  <c r="C36" i="8"/>
  <c r="D36" i="8"/>
  <c r="D33" i="8"/>
  <c r="C33" i="8"/>
  <c r="D28" i="8"/>
  <c r="C28" i="8"/>
  <c r="C22" i="8"/>
  <c r="D22" i="8"/>
  <c r="C14" i="8"/>
  <c r="D14" i="8"/>
  <c r="B78" i="8"/>
  <c r="B75" i="8"/>
  <c r="B72" i="8"/>
  <c r="B69" i="8"/>
  <c r="B66" i="8"/>
  <c r="B63" i="8"/>
  <c r="B60" i="8"/>
  <c r="B57" i="8"/>
  <c r="B54" i="8"/>
  <c r="B51" i="8"/>
  <c r="B48" i="8"/>
  <c r="B45" i="8"/>
  <c r="B42" i="8"/>
  <c r="B39" i="8"/>
  <c r="B36" i="8"/>
  <c r="B33" i="8"/>
  <c r="B28" i="8"/>
  <c r="B22" i="8"/>
  <c r="B14" i="8"/>
  <c r="G13" i="14" l="1"/>
  <c r="G14" i="14" l="1"/>
  <c r="G15" i="14"/>
</calcChain>
</file>

<file path=xl/sharedStrings.xml><?xml version="1.0" encoding="utf-8"?>
<sst xmlns="http://schemas.openxmlformats.org/spreadsheetml/2006/main" count="335" uniqueCount="141">
  <si>
    <t>Référence produit</t>
  </si>
  <si>
    <t>Désignation</t>
  </si>
  <si>
    <t>Prix de vente</t>
  </si>
  <si>
    <t>FIFO</t>
  </si>
  <si>
    <t>décomposition du cout</t>
  </si>
  <si>
    <t>Fournisseur</t>
  </si>
  <si>
    <t>Total</t>
  </si>
  <si>
    <t>Référence</t>
  </si>
  <si>
    <t>Quantité</t>
  </si>
  <si>
    <t>Date</t>
  </si>
  <si>
    <t>Marque</t>
  </si>
  <si>
    <t>Code caisse</t>
  </si>
  <si>
    <t>Codes caisses</t>
  </si>
  <si>
    <t>Bonbons</t>
  </si>
  <si>
    <t>Boucles d'oreilles</t>
  </si>
  <si>
    <t>Cosmétiques</t>
  </si>
  <si>
    <t>Cartes cadeaux</t>
  </si>
  <si>
    <t>Echarpes bijoux</t>
  </si>
  <si>
    <t>Bagues</t>
  </si>
  <si>
    <t>Coques de téléphones</t>
  </si>
  <si>
    <t>Cadeaux</t>
  </si>
  <si>
    <t xml:space="preserve">Tatoos </t>
  </si>
  <si>
    <t>Accessoires Ongles</t>
  </si>
  <si>
    <t>Accessoires Tatoos</t>
  </si>
  <si>
    <t>Vernis</t>
  </si>
  <si>
    <t>Bijoux de sac</t>
  </si>
  <si>
    <t>Chainettes chevilles</t>
  </si>
  <si>
    <t>Piercings</t>
  </si>
  <si>
    <t>Clous d'oreilles</t>
  </si>
  <si>
    <t>Bracelets</t>
  </si>
  <si>
    <t>Parrures</t>
  </si>
  <si>
    <t>Colliers</t>
  </si>
  <si>
    <t>Menu principal</t>
  </si>
  <si>
    <t>Gestion des fournisseurs</t>
  </si>
  <si>
    <t>Adresse site</t>
  </si>
  <si>
    <t>Autre contact</t>
  </si>
  <si>
    <t>Gestion des produits</t>
  </si>
  <si>
    <t>Fiche de caisse</t>
  </si>
  <si>
    <t>€</t>
  </si>
  <si>
    <t>TOTAL</t>
  </si>
  <si>
    <t>Fond de caisse debut de journée</t>
  </si>
  <si>
    <t xml:space="preserve">Total à enlever </t>
  </si>
  <si>
    <t>Gestion des stocks</t>
  </si>
  <si>
    <t>Bilan</t>
  </si>
  <si>
    <t>Compte de résultat</t>
  </si>
  <si>
    <t>Tableau de bord</t>
  </si>
  <si>
    <t>fg</t>
  </si>
  <si>
    <t>tr</t>
  </si>
  <si>
    <t>yrt</t>
  </si>
  <si>
    <t>a</t>
  </si>
  <si>
    <t>b</t>
  </si>
  <si>
    <t>kjfdbg</t>
  </si>
  <si>
    <t>dknfq</t>
  </si>
  <si>
    <t>kjds</t>
  </si>
  <si>
    <t>dfqjg</t>
  </si>
  <si>
    <t>qskjhdfbjqhdsbfkbjqs</t>
  </si>
  <si>
    <t>qtrfhqfdqhdfh</t>
  </si>
  <si>
    <t>qdfhqf</t>
  </si>
  <si>
    <t>c</t>
  </si>
  <si>
    <t>d</t>
  </si>
  <si>
    <t>Nombre</t>
  </si>
  <si>
    <t>Fond de caisse théorique fin de journée</t>
  </si>
  <si>
    <t xml:space="preserve">Fond de caisse réel fin de journée </t>
  </si>
  <si>
    <t>Ecart Réel / Théorique</t>
  </si>
  <si>
    <t>Paiements Chèques</t>
  </si>
  <si>
    <t>Journal des achats</t>
  </si>
  <si>
    <t>Journal des ventes</t>
  </si>
  <si>
    <t>Vue des stocks</t>
  </si>
  <si>
    <t>Prix d'achat unitaire</t>
  </si>
  <si>
    <t>Commentaires</t>
  </si>
  <si>
    <t>Prix de vente unitaire</t>
  </si>
  <si>
    <t>jhdsgfds</t>
  </si>
  <si>
    <t>jqsdhfg</t>
  </si>
  <si>
    <t>dhsf</t>
  </si>
  <si>
    <t>18/04/2013</t>
  </si>
  <si>
    <t>BOU001</t>
  </si>
  <si>
    <t>cherrrrrrrr</t>
  </si>
  <si>
    <t>COL001</t>
  </si>
  <si>
    <t>jkhf</t>
  </si>
  <si>
    <t>BON003</t>
  </si>
  <si>
    <t>fdgfd</t>
  </si>
  <si>
    <t>BON002</t>
  </si>
  <si>
    <t>gffd</t>
  </si>
  <si>
    <t>Mode paiement</t>
  </si>
  <si>
    <t>Nature opération</t>
  </si>
  <si>
    <t>Soldes</t>
  </si>
  <si>
    <t>Vente Boutique</t>
  </si>
  <si>
    <t>OUI</t>
  </si>
  <si>
    <t>Espèces</t>
  </si>
  <si>
    <t>reter</t>
  </si>
  <si>
    <t>Vente Camping</t>
  </si>
  <si>
    <t>Carte cadeau</t>
  </si>
  <si>
    <t>dfsg</t>
  </si>
  <si>
    <t>Coût du stock</t>
  </si>
  <si>
    <t>Valeur à la vente</t>
  </si>
  <si>
    <t>jhgefer</t>
  </si>
  <si>
    <t>re</t>
  </si>
  <si>
    <t>boucles</t>
  </si>
  <si>
    <t>HBD</t>
  </si>
  <si>
    <t>col</t>
  </si>
  <si>
    <t>sdkj</t>
  </si>
  <si>
    <t>dslkjfd</t>
  </si>
  <si>
    <t>fgddqdsqsdg</t>
  </si>
  <si>
    <t>dff</t>
  </si>
  <si>
    <t>ed</t>
  </si>
  <si>
    <t>COL002</t>
  </si>
  <si>
    <t>fdf</t>
  </si>
  <si>
    <t>BOU002</t>
  </si>
  <si>
    <t>dqfr</t>
  </si>
  <si>
    <t>rere</t>
  </si>
  <si>
    <t>eeez</t>
  </si>
  <si>
    <t>Vente CE</t>
  </si>
  <si>
    <t>Chèque</t>
  </si>
  <si>
    <t>BON004</t>
  </si>
  <si>
    <t>sdfdd</t>
  </si>
  <si>
    <t>ertrtr</t>
  </si>
  <si>
    <t>qrzqferf</t>
  </si>
  <si>
    <t>Vente Domicile</t>
  </si>
  <si>
    <t>fder</t>
  </si>
  <si>
    <t>ssgsfd</t>
  </si>
  <si>
    <t>sfdgfg</t>
  </si>
  <si>
    <t>eeeeee</t>
  </si>
  <si>
    <t>qskdjhf</t>
  </si>
  <si>
    <t>efff</t>
  </si>
  <si>
    <t>2,4</t>
  </si>
  <si>
    <t>test</t>
  </si>
  <si>
    <t>jd</t>
  </si>
  <si>
    <t>erdfrdffdd</t>
  </si>
  <si>
    <t>rrr</t>
  </si>
  <si>
    <t>Colonne1</t>
  </si>
  <si>
    <t>Colonne2</t>
  </si>
  <si>
    <t>Colonne3</t>
  </si>
  <si>
    <t>Colonne4</t>
  </si>
  <si>
    <t>Coût d'achat unitaire (PEPS)</t>
  </si>
  <si>
    <t>TGVDUVD</t>
  </si>
  <si>
    <t>gfhfghsf</t>
  </si>
  <si>
    <t>dfhfshg</t>
  </si>
  <si>
    <t>sfhgh</t>
  </si>
  <si>
    <t>gfshsfg</t>
  </si>
  <si>
    <t>gfhh</t>
  </si>
  <si>
    <t>ghhhhhhhhhhhh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</si>
</sst>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4" tint="9.9978637043366805E-2"/>
      <name val="Calibri"/>
      <family val="2"/>
      <scheme val="minor"/>
    </font>
    <font>
      <i/>
      <sz val="18"/>
      <color theme="4" tint="9.9978637043366805E-2"/>
      <name val="Calibri"/>
      <family val="2"/>
      <scheme val="minor"/>
    </font>
    <font>
      <b/>
      <sz val="16"/>
      <color theme="4" tint="9.9978637043366805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9.9978637043366805E-2"/>
        <bgColor indexed="64"/>
      </patternFill>
    </fill>
    <fill>
      <patternFill patternType="solid">
        <fgColor theme="4" tint="0.249977111117893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499984740745262"/>
      </left>
      <right style="thin">
        <color theme="4" tint="0.499984740745262"/>
      </right>
      <top style="thin">
        <color theme="4" tint="0.499984740745262"/>
      </top>
      <bottom style="thin">
        <color theme="4" tint="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1" quotePrefix="1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horizontal="left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6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/>
    </xf>
    <xf numFmtId="0" fontId="7" fillId="2" borderId="1" xfId="0" applyFont="1" applyFill="1" applyBorder="1"/>
    <xf numFmtId="0" fontId="7" fillId="3" borderId="1" xfId="0" applyFont="1" applyFill="1" applyBorder="1"/>
    <xf numFmtId="164" fontId="6" fillId="4" borderId="1" xfId="0" applyNumberFormat="1" applyFont="1" applyFill="1" applyBorder="1"/>
    <xf numFmtId="164" fontId="6" fillId="0" borderId="1" xfId="0" applyNumberFormat="1" applyFont="1" applyBorder="1"/>
    <xf numFmtId="164" fontId="11" fillId="4" borderId="1" xfId="0" applyNumberFormat="1" applyFont="1" applyFill="1" applyBorder="1"/>
    <xf numFmtId="164" fontId="8" fillId="5" borderId="1" xfId="0" applyNumberFormat="1" applyFont="1" applyFill="1" applyBorder="1"/>
    <xf numFmtId="0" fontId="10" fillId="2" borderId="1" xfId="0" applyFont="1" applyFill="1" applyBorder="1"/>
    <xf numFmtId="0" fontId="6" fillId="0" borderId="1" xfId="0" applyFont="1" applyBorder="1"/>
    <xf numFmtId="164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wrapText="1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164" fontId="3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7" borderId="2" xfId="0" applyFont="1" applyFill="1" applyBorder="1" applyAlignment="1">
      <alignment wrapText="1"/>
    </xf>
    <xf numFmtId="0" fontId="3" fillId="0" borderId="0" xfId="0" applyFont="1" applyAlignment="1">
      <alignment horizont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0" fillId="7" borderId="3" xfId="0" applyFont="1" applyFill="1" applyBorder="1" applyAlignment="1">
      <alignment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right" wrapText="1"/>
    </xf>
    <xf numFmtId="0" fontId="3" fillId="0" borderId="0" xfId="0" applyFont="1" applyAlignment="1">
      <alignment horizontal="left" vertical="center" wrapText="1"/>
    </xf>
  </cellXfs>
  <cellStyles count="2">
    <cellStyle name="Lien hypertexte" xfId="1" builtinId="8"/>
    <cellStyle name="Normal" xfId="0" builtinId="0"/>
  </cellStyles>
  <dxfs count="208">
    <dxf>
      <font>
        <b/>
        <i val="0"/>
        <color rgb="FFFF9900"/>
      </font>
    </dxf>
    <dxf>
      <font>
        <b/>
        <i val="0"/>
        <color rgb="FF00CC00"/>
      </font>
    </dxf>
    <dxf>
      <font>
        <b/>
        <i val="0"/>
        <color rgb="FFFF0000"/>
      </font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vertical="bottom" textRotation="0" wrapTex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left style="thin">
          <color theme="4" tint="0.39997558519241921"/>
        </left>
      </border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numFmt numFmtId="164" formatCode="#,##0.00\ &quot;€&quot;"/>
      <alignment vertical="bottom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alignment vertical="bottom" textRotation="0" wrapText="1" justifyLastLine="0" shrinkToFit="0" readingOrder="0"/>
    </dxf>
    <dxf>
      <alignment horizontal="center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.00\ &quot;€&quot;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CC00"/>
      <color rgb="FFFF9900"/>
      <color rgb="FFA957A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7" Type="http://schemas.openxmlformats.org/officeDocument/2006/relationships/hyperlink" Target="#'Fiche de caisse'!A1"/><Relationship Id="rId2" Type="http://schemas.openxmlformats.org/officeDocument/2006/relationships/hyperlink" Target="#Bilan!A1"/><Relationship Id="rId1" Type="http://schemas.openxmlformats.org/officeDocument/2006/relationships/hyperlink" Target="#'Compte de r&#233;sultat'!A1"/><Relationship Id="rId6" Type="http://schemas.openxmlformats.org/officeDocument/2006/relationships/hyperlink" Target="#'Tableau de bord'!A1"/><Relationship Id="rId5" Type="http://schemas.openxmlformats.org/officeDocument/2006/relationships/hyperlink" Target="#'Gestion des fournisseurs'!A1"/><Relationship Id="rId4" Type="http://schemas.openxmlformats.org/officeDocument/2006/relationships/hyperlink" Target="#'Gestion des produit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Journal des achats'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'Vue des stocks'!A1"/><Relationship Id="rId4" Type="http://schemas.openxmlformats.org/officeDocument/2006/relationships/hyperlink" Target="#'Journal des vente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742949</xdr:colOff>
      <xdr:row>12</xdr:row>
      <xdr:rowOff>133350</xdr:rowOff>
    </xdr:from>
    <xdr:to>
      <xdr:col>6</xdr:col>
      <xdr:colOff>466724</xdr:colOff>
      <xdr:row>15</xdr:row>
      <xdr:rowOff>104775</xdr:rowOff>
    </xdr:to>
    <xdr:sp macro="[0]!Rectangle1_Cliquer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2266949" y="24193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Compte de résultat</a:t>
          </a:r>
        </a:p>
      </xdr:txBody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304800</xdr:colOff>
      <xdr:row>19</xdr:row>
      <xdr:rowOff>114300</xdr:rowOff>
    </xdr:to>
    <xdr:sp macro="" textlink="">
      <xdr:nvSpPr>
        <xdr:cNvPr id="1025" name="AutoShape 1" descr="https://groupe4miage.googlegroups.com/attach/aa5975d7e918c580/banni%C3%A8re.png?view=1&amp;part=4&amp;hl=fr"/>
        <xdr:cNvSpPr>
          <a:spLocks noChangeAspect="1" noChangeArrowheads="1"/>
        </xdr:cNvSpPr>
      </xdr:nvSpPr>
      <xdr:spPr bwMode="auto">
        <a:xfrm>
          <a:off x="53340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742949</xdr:colOff>
      <xdr:row>17</xdr:row>
      <xdr:rowOff>47625</xdr:rowOff>
    </xdr:from>
    <xdr:to>
      <xdr:col>6</xdr:col>
      <xdr:colOff>466724</xdr:colOff>
      <xdr:row>20</xdr:row>
      <xdr:rowOff>19050</xdr:rowOff>
    </xdr:to>
    <xdr:sp macro="[0]!Rectangle1_Cliquer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2266949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Bilan</a:t>
          </a:r>
        </a:p>
      </xdr:txBody>
    </xdr:sp>
    <xdr:clientData/>
  </xdr:twoCellAnchor>
  <xdr:twoCellAnchor>
    <xdr:from>
      <xdr:col>8</xdr:col>
      <xdr:colOff>142874</xdr:colOff>
      <xdr:row>17</xdr:row>
      <xdr:rowOff>47625</xdr:rowOff>
    </xdr:from>
    <xdr:to>
      <xdr:col>10</xdr:col>
      <xdr:colOff>628649</xdr:colOff>
      <xdr:row>20</xdr:row>
      <xdr:rowOff>19050</xdr:rowOff>
    </xdr:to>
    <xdr:sp macro="[0]!Rectangle1_Cliquer" textlink="">
      <xdr:nvSpPr>
        <xdr:cNvPr id="5" name="Rectangle 4">
          <a:hlinkClick xmlns:r="http://schemas.openxmlformats.org/officeDocument/2006/relationships" r:id="rId3"/>
        </xdr:cNvPr>
        <xdr:cNvSpPr/>
      </xdr:nvSpPr>
      <xdr:spPr>
        <a:xfrm>
          <a:off x="5476874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stocks</a:t>
          </a:r>
        </a:p>
      </xdr:txBody>
    </xdr:sp>
    <xdr:clientData/>
  </xdr:twoCellAnchor>
  <xdr:twoCellAnchor>
    <xdr:from>
      <xdr:col>8</xdr:col>
      <xdr:colOff>171449</xdr:colOff>
      <xdr:row>8</xdr:row>
      <xdr:rowOff>19050</xdr:rowOff>
    </xdr:from>
    <xdr:to>
      <xdr:col>10</xdr:col>
      <xdr:colOff>657224</xdr:colOff>
      <xdr:row>10</xdr:row>
      <xdr:rowOff>180975</xdr:rowOff>
    </xdr:to>
    <xdr:sp macro="[0]!Rectangle1_Cliquer" textlink="">
      <xdr:nvSpPr>
        <xdr:cNvPr id="6" name="Rectangle 5">
          <a:hlinkClick xmlns:r="http://schemas.openxmlformats.org/officeDocument/2006/relationships" r:id="rId4"/>
        </xdr:cNvPr>
        <xdr:cNvSpPr/>
      </xdr:nvSpPr>
      <xdr:spPr>
        <a:xfrm>
          <a:off x="6267449" y="16478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produits</a:t>
          </a:r>
        </a:p>
      </xdr:txBody>
    </xdr:sp>
    <xdr:clientData/>
  </xdr:twoCellAnchor>
  <xdr:twoCellAnchor>
    <xdr:from>
      <xdr:col>8</xdr:col>
      <xdr:colOff>142874</xdr:colOff>
      <xdr:row>12</xdr:row>
      <xdr:rowOff>104775</xdr:rowOff>
    </xdr:from>
    <xdr:to>
      <xdr:col>10</xdr:col>
      <xdr:colOff>628649</xdr:colOff>
      <xdr:row>15</xdr:row>
      <xdr:rowOff>76200</xdr:rowOff>
    </xdr:to>
    <xdr:sp macro="[0]!Rectangle1_Cliquer" textlink="">
      <xdr:nvSpPr>
        <xdr:cNvPr id="7" name="Rectangle 6">
          <a:hlinkClick xmlns:r="http://schemas.openxmlformats.org/officeDocument/2006/relationships" r:id="rId5"/>
        </xdr:cNvPr>
        <xdr:cNvSpPr/>
      </xdr:nvSpPr>
      <xdr:spPr>
        <a:xfrm>
          <a:off x="6238874" y="24955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fournisseurs</a:t>
          </a:r>
        </a:p>
      </xdr:txBody>
    </xdr:sp>
    <xdr:clientData/>
  </xdr:twoCellAnchor>
  <xdr:twoCellAnchor>
    <xdr:from>
      <xdr:col>3</xdr:col>
      <xdr:colOff>742949</xdr:colOff>
      <xdr:row>8</xdr:row>
      <xdr:rowOff>28575</xdr:rowOff>
    </xdr:from>
    <xdr:to>
      <xdr:col>6</xdr:col>
      <xdr:colOff>466724</xdr:colOff>
      <xdr:row>11</xdr:row>
      <xdr:rowOff>0</xdr:rowOff>
    </xdr:to>
    <xdr:sp macro="[0]!Rectangle1_Cliquer" textlink="">
      <xdr:nvSpPr>
        <xdr:cNvPr id="8" name="Rectangle 7">
          <a:hlinkClick xmlns:r="http://schemas.openxmlformats.org/officeDocument/2006/relationships" r:id="rId6"/>
        </xdr:cNvPr>
        <xdr:cNvSpPr/>
      </xdr:nvSpPr>
      <xdr:spPr>
        <a:xfrm>
          <a:off x="2266949" y="155257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Tableau</a:t>
          </a:r>
          <a:r>
            <a:rPr lang="fr-FR" sz="1100" baseline="0"/>
            <a:t> de bord</a:t>
          </a:r>
          <a:endParaRPr lang="fr-FR" sz="1100"/>
        </a:p>
      </xdr:txBody>
    </xdr:sp>
    <xdr:clientData/>
  </xdr:twoCellAnchor>
  <xdr:twoCellAnchor>
    <xdr:from>
      <xdr:col>6</xdr:col>
      <xdr:colOff>85725</xdr:colOff>
      <xdr:row>21</xdr:row>
      <xdr:rowOff>133350</xdr:rowOff>
    </xdr:from>
    <xdr:to>
      <xdr:col>8</xdr:col>
      <xdr:colOff>571500</xdr:colOff>
      <xdr:row>24</xdr:row>
      <xdr:rowOff>104775</xdr:rowOff>
    </xdr:to>
    <xdr:sp macro="[0]!Rectangle1_Cliquer" textlink="">
      <xdr:nvSpPr>
        <xdr:cNvPr id="9" name="Rectangle 8">
          <a:hlinkClick xmlns:r="http://schemas.openxmlformats.org/officeDocument/2006/relationships" r:id="rId7"/>
        </xdr:cNvPr>
        <xdr:cNvSpPr/>
      </xdr:nvSpPr>
      <xdr:spPr>
        <a:xfrm>
          <a:off x="4657725" y="42386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Fiche de caisse</a:t>
          </a:r>
        </a:p>
      </xdr:txBody>
    </xdr:sp>
    <xdr:clientData/>
  </xdr:twoCellAnchor>
  <xdr:twoCellAnchor>
    <xdr:from>
      <xdr:col>13</xdr:col>
      <xdr:colOff>657225</xdr:colOff>
      <xdr:row>5</xdr:row>
      <xdr:rowOff>190499</xdr:rowOff>
    </xdr:from>
    <xdr:to>
      <xdr:col>15</xdr:col>
      <xdr:colOff>266700</xdr:colOff>
      <xdr:row>8</xdr:row>
      <xdr:rowOff>142874</xdr:rowOff>
    </xdr:to>
    <xdr:sp macro="[0]!Enregistrer_et_quitter" textlink="">
      <xdr:nvSpPr>
        <xdr:cNvPr id="3" name="Rectangle à coins arrondis 2"/>
        <xdr:cNvSpPr/>
      </xdr:nvSpPr>
      <xdr:spPr>
        <a:xfrm>
          <a:off x="10563225" y="124777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13</xdr:col>
      <xdr:colOff>647700</xdr:colOff>
      <xdr:row>2</xdr:row>
      <xdr:rowOff>171450</xdr:rowOff>
    </xdr:from>
    <xdr:to>
      <xdr:col>15</xdr:col>
      <xdr:colOff>257175</xdr:colOff>
      <xdr:row>5</xdr:row>
      <xdr:rowOff>19050</xdr:rowOff>
    </xdr:to>
    <xdr:sp macro="[0]!Enregistrer" textlink="">
      <xdr:nvSpPr>
        <xdr:cNvPr id="12" name="Rectangle à coins arrondis 11"/>
        <xdr:cNvSpPr/>
      </xdr:nvSpPr>
      <xdr:spPr>
        <a:xfrm>
          <a:off x="10553700" y="55245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3</xdr:col>
      <xdr:colOff>1783378</xdr:colOff>
      <xdr:row>6</xdr:row>
      <xdr:rowOff>19516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</xdr:col>
      <xdr:colOff>666750</xdr:colOff>
      <xdr:row>8</xdr:row>
      <xdr:rowOff>123826</xdr:rowOff>
    </xdr:from>
    <xdr:to>
      <xdr:col>2</xdr:col>
      <xdr:colOff>1285875</xdr:colOff>
      <xdr:row>10</xdr:row>
      <xdr:rowOff>209551</xdr:rowOff>
    </xdr:to>
    <xdr:sp macro="[0]!AjouterProduit" textlink="">
      <xdr:nvSpPr>
        <xdr:cNvPr id="4" name="Rectangle à coins arrondis 3"/>
        <xdr:cNvSpPr/>
      </xdr:nvSpPr>
      <xdr:spPr>
        <a:xfrm>
          <a:off x="1428750" y="1857376"/>
          <a:ext cx="201930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produit</a:t>
          </a:r>
        </a:p>
      </xdr:txBody>
    </xdr:sp>
    <xdr:clientData/>
  </xdr:twoCellAnchor>
  <xdr:twoCellAnchor>
    <xdr:from>
      <xdr:col>3</xdr:col>
      <xdr:colOff>609599</xdr:colOff>
      <xdr:row>8</xdr:row>
      <xdr:rowOff>123826</xdr:rowOff>
    </xdr:from>
    <xdr:to>
      <xdr:col>4</xdr:col>
      <xdr:colOff>419099</xdr:colOff>
      <xdr:row>10</xdr:row>
      <xdr:rowOff>209551</xdr:rowOff>
    </xdr:to>
    <xdr:sp macro="[0]!ModifierProduit" textlink="">
      <xdr:nvSpPr>
        <xdr:cNvPr id="5" name="Rectangle à coins arrondis 4"/>
        <xdr:cNvSpPr/>
      </xdr:nvSpPr>
      <xdr:spPr>
        <a:xfrm>
          <a:off x="4276724" y="1857376"/>
          <a:ext cx="21050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produit</a:t>
          </a:r>
        </a:p>
      </xdr:txBody>
    </xdr:sp>
    <xdr:clientData/>
  </xdr:twoCellAnchor>
  <xdr:twoCellAnchor>
    <xdr:from>
      <xdr:col>7</xdr:col>
      <xdr:colOff>323849</xdr:colOff>
      <xdr:row>2</xdr:row>
      <xdr:rowOff>38100</xdr:rowOff>
    </xdr:from>
    <xdr:to>
      <xdr:col>8</xdr:col>
      <xdr:colOff>685799</xdr:colOff>
      <xdr:row>4</xdr:row>
      <xdr:rowOff>180975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9058274" y="419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323849</xdr:colOff>
      <xdr:row>5</xdr:row>
      <xdr:rowOff>142876</xdr:rowOff>
    </xdr:from>
    <xdr:to>
      <xdr:col>8</xdr:col>
      <xdr:colOff>685799</xdr:colOff>
      <xdr:row>7</xdr:row>
      <xdr:rowOff>114300</xdr:rowOff>
    </xdr:to>
    <xdr:sp macro="[0]!Enregistrer" textlink="">
      <xdr:nvSpPr>
        <xdr:cNvPr id="7" name="Rectangle à coins arrondis 6"/>
        <xdr:cNvSpPr/>
      </xdr:nvSpPr>
      <xdr:spPr>
        <a:xfrm>
          <a:off x="9058274" y="1095376"/>
          <a:ext cx="1133475" cy="457199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323849</xdr:colOff>
      <xdr:row>7</xdr:row>
      <xdr:rowOff>266700</xdr:rowOff>
    </xdr:from>
    <xdr:to>
      <xdr:col>8</xdr:col>
      <xdr:colOff>685799</xdr:colOff>
      <xdr:row>9</xdr:row>
      <xdr:rowOff>200025</xdr:rowOff>
    </xdr:to>
    <xdr:sp macro="[0]!Enregistrer_et_quitter" textlink="">
      <xdr:nvSpPr>
        <xdr:cNvPr id="8" name="Rectangle à coins arrondis 7"/>
        <xdr:cNvSpPr/>
      </xdr:nvSpPr>
      <xdr:spPr>
        <a:xfrm>
          <a:off x="9058274" y="17049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457201</xdr:colOff>
      <xdr:row>10</xdr:row>
      <xdr:rowOff>9525</xdr:rowOff>
    </xdr:from>
    <xdr:to>
      <xdr:col>3</xdr:col>
      <xdr:colOff>1545715</xdr:colOff>
      <xdr:row>13</xdr:row>
      <xdr:rowOff>114300</xdr:rowOff>
    </xdr:to>
    <xdr:sp macro="[0]!AjouterFournisseur" textlink="">
      <xdr:nvSpPr>
        <xdr:cNvPr id="2" name="Rectangle à coins arrondis 1"/>
        <xdr:cNvSpPr/>
      </xdr:nvSpPr>
      <xdr:spPr>
        <a:xfrm>
          <a:off x="1981201" y="2019300"/>
          <a:ext cx="1936239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fournisseur</a:t>
          </a:r>
        </a:p>
      </xdr:txBody>
    </xdr:sp>
    <xdr:clientData/>
  </xdr:twoCellAnchor>
  <xdr:twoCellAnchor>
    <xdr:from>
      <xdr:col>4</xdr:col>
      <xdr:colOff>209551</xdr:colOff>
      <xdr:row>10</xdr:row>
      <xdr:rowOff>9525</xdr:rowOff>
    </xdr:from>
    <xdr:to>
      <xdr:col>4</xdr:col>
      <xdr:colOff>2200275</xdr:colOff>
      <xdr:row>13</xdr:row>
      <xdr:rowOff>114300</xdr:rowOff>
    </xdr:to>
    <xdr:sp macro="[0]!ModifierFournisseur" textlink="">
      <xdr:nvSpPr>
        <xdr:cNvPr id="4" name="Rectangle à coins arrondis 3"/>
        <xdr:cNvSpPr/>
      </xdr:nvSpPr>
      <xdr:spPr>
        <a:xfrm>
          <a:off x="4305301" y="2019300"/>
          <a:ext cx="1990724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fournisseur</a:t>
          </a:r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4</xdr:col>
      <xdr:colOff>1354753</xdr:colOff>
      <xdr:row>6</xdr:row>
      <xdr:rowOff>29041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142875</xdr:colOff>
      <xdr:row>2</xdr:row>
      <xdr:rowOff>123824</xdr:rowOff>
    </xdr:from>
    <xdr:to>
      <xdr:col>8</xdr:col>
      <xdr:colOff>504825</xdr:colOff>
      <xdr:row>5</xdr:row>
      <xdr:rowOff>76199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10553700" y="50482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142875</xdr:colOff>
      <xdr:row>6</xdr:row>
      <xdr:rowOff>38100</xdr:rowOff>
    </xdr:from>
    <xdr:to>
      <xdr:col>8</xdr:col>
      <xdr:colOff>504825</xdr:colOff>
      <xdr:row>8</xdr:row>
      <xdr:rowOff>76200</xdr:rowOff>
    </xdr:to>
    <xdr:sp macro="[0]!Enregistrer" textlink="">
      <xdr:nvSpPr>
        <xdr:cNvPr id="7" name="Rectangle à coins arrondis 6"/>
        <xdr:cNvSpPr/>
      </xdr:nvSpPr>
      <xdr:spPr>
        <a:xfrm>
          <a:off x="10553700" y="1181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142875</xdr:colOff>
      <xdr:row>9</xdr:row>
      <xdr:rowOff>57149</xdr:rowOff>
    </xdr:from>
    <xdr:to>
      <xdr:col>8</xdr:col>
      <xdr:colOff>504825</xdr:colOff>
      <xdr:row>12</xdr:row>
      <xdr:rowOff>9524</xdr:rowOff>
    </xdr:to>
    <xdr:sp macro="[0]!Enregistrer_et_quitter" textlink="">
      <xdr:nvSpPr>
        <xdr:cNvPr id="8" name="Rectangle à coins arrondis 7"/>
        <xdr:cNvSpPr/>
      </xdr:nvSpPr>
      <xdr:spPr>
        <a:xfrm>
          <a:off x="10553700" y="187642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392728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8</xdr:col>
      <xdr:colOff>66675</xdr:colOff>
      <xdr:row>3</xdr:row>
      <xdr:rowOff>0</xdr:rowOff>
    </xdr:from>
    <xdr:to>
      <xdr:col>9</xdr:col>
      <xdr:colOff>428625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441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66675</xdr:colOff>
      <xdr:row>6</xdr:row>
      <xdr:rowOff>104776</xdr:rowOff>
    </xdr:from>
    <xdr:to>
      <xdr:col>9</xdr:col>
      <xdr:colOff>428625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99441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66675</xdr:colOff>
      <xdr:row>9</xdr:row>
      <xdr:rowOff>123825</xdr:rowOff>
    </xdr:from>
    <xdr:to>
      <xdr:col>9</xdr:col>
      <xdr:colOff>428625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99441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</xdr:col>
      <xdr:colOff>276225</xdr:colOff>
      <xdr:row>8</xdr:row>
      <xdr:rowOff>19050</xdr:rowOff>
    </xdr:from>
    <xdr:to>
      <xdr:col>2</xdr:col>
      <xdr:colOff>866775</xdr:colOff>
      <xdr:row>12</xdr:row>
      <xdr:rowOff>161925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1038225" y="1647825"/>
          <a:ext cx="18954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</a:t>
          </a:r>
          <a:r>
            <a:rPr lang="fr-FR" sz="1100" baseline="0"/>
            <a:t> des achats</a:t>
          </a:r>
          <a:endParaRPr lang="fr-FR" sz="1100"/>
        </a:p>
      </xdr:txBody>
    </xdr:sp>
    <xdr:clientData/>
  </xdr:twoCellAnchor>
  <xdr:twoCellAnchor>
    <xdr:from>
      <xdr:col>2</xdr:col>
      <xdr:colOff>1733550</xdr:colOff>
      <xdr:row>8</xdr:row>
      <xdr:rowOff>9525</xdr:rowOff>
    </xdr:from>
    <xdr:to>
      <xdr:col>4</xdr:col>
      <xdr:colOff>609600</xdr:colOff>
      <xdr:row>12</xdr:row>
      <xdr:rowOff>171450</xdr:rowOff>
    </xdr:to>
    <xdr:sp macro="" textlink="">
      <xdr:nvSpPr>
        <xdr:cNvPr id="10" name="Rectangle à coins arrondis 9">
          <a:hlinkClick xmlns:r="http://schemas.openxmlformats.org/officeDocument/2006/relationships" r:id="rId4"/>
        </xdr:cNvPr>
        <xdr:cNvSpPr/>
      </xdr:nvSpPr>
      <xdr:spPr>
        <a:xfrm>
          <a:off x="3800475" y="1638300"/>
          <a:ext cx="18669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 des ventes</a:t>
          </a:r>
        </a:p>
      </xdr:txBody>
    </xdr:sp>
    <xdr:clientData/>
  </xdr:twoCellAnchor>
  <xdr:twoCellAnchor>
    <xdr:from>
      <xdr:col>2</xdr:col>
      <xdr:colOff>352425</xdr:colOff>
      <xdr:row>14</xdr:row>
      <xdr:rowOff>142875</xdr:rowOff>
    </xdr:from>
    <xdr:to>
      <xdr:col>3</xdr:col>
      <xdr:colOff>38100</xdr:colOff>
      <xdr:row>19</xdr:row>
      <xdr:rowOff>85725</xdr:rowOff>
    </xdr:to>
    <xdr:sp macro="[0]!VueDesStocks" textlink="">
      <xdr:nvSpPr>
        <xdr:cNvPr id="11" name="Rectangle à coins arrondis 10">
          <a:hlinkClick xmlns:r="http://schemas.openxmlformats.org/officeDocument/2006/relationships" r:id="rId5"/>
        </xdr:cNvPr>
        <xdr:cNvSpPr/>
      </xdr:nvSpPr>
      <xdr:spPr>
        <a:xfrm>
          <a:off x="2419350" y="2914650"/>
          <a:ext cx="1876425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Vue des stocks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142875</xdr:rowOff>
    </xdr:from>
    <xdr:to>
      <xdr:col>9</xdr:col>
      <xdr:colOff>1028700</xdr:colOff>
      <xdr:row>3</xdr:row>
      <xdr:rowOff>95250</xdr:rowOff>
    </xdr:to>
    <xdr:sp macro="" textlink="">
      <xdr:nvSpPr>
        <xdr:cNvPr id="3" name="Rectangle à coins arrondis 2">
          <a:hlinkClick xmlns:r="http://schemas.openxmlformats.org/officeDocument/2006/relationships" r:id="rId1"/>
        </xdr:cNvPr>
        <xdr:cNvSpPr/>
      </xdr:nvSpPr>
      <xdr:spPr>
        <a:xfrm>
          <a:off x="9925050" y="142875"/>
          <a:ext cx="10287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0</xdr:colOff>
      <xdr:row>4</xdr:row>
      <xdr:rowOff>57151</xdr:rowOff>
    </xdr:from>
    <xdr:to>
      <xdr:col>9</xdr:col>
      <xdr:colOff>1076325</xdr:colOff>
      <xdr:row>7</xdr:row>
      <xdr:rowOff>9526</xdr:rowOff>
    </xdr:to>
    <xdr:sp macro="[0]!Enregistrer" textlink="">
      <xdr:nvSpPr>
        <xdr:cNvPr id="4" name="Rectangle à coins arrondis 3"/>
        <xdr:cNvSpPr/>
      </xdr:nvSpPr>
      <xdr:spPr>
        <a:xfrm>
          <a:off x="9925050" y="819151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9</xdr:col>
      <xdr:colOff>1104900</xdr:colOff>
      <xdr:row>10</xdr:row>
      <xdr:rowOff>133350</xdr:rowOff>
    </xdr:to>
    <xdr:sp macro="[0]!Enregistrer_et_quitter" textlink="">
      <xdr:nvSpPr>
        <xdr:cNvPr id="5" name="Rectangle à coins arrondis 4"/>
        <xdr:cNvSpPr/>
      </xdr:nvSpPr>
      <xdr:spPr>
        <a:xfrm>
          <a:off x="9925050" y="1514475"/>
          <a:ext cx="11049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2421553</xdr:colOff>
      <xdr:row>6</xdr:row>
      <xdr:rowOff>9991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314324</xdr:colOff>
      <xdr:row>1</xdr:row>
      <xdr:rowOff>57149</xdr:rowOff>
    </xdr:from>
    <xdr:to>
      <xdr:col>6</xdr:col>
      <xdr:colOff>1276349</xdr:colOff>
      <xdr:row>5</xdr:row>
      <xdr:rowOff>161924</xdr:rowOff>
    </xdr:to>
    <xdr:sp macro="" textlink="">
      <xdr:nvSpPr>
        <xdr:cNvPr id="7" name="Rectangle à coins arrondis 6">
          <a:hlinkClick xmlns:r="http://schemas.openxmlformats.org/officeDocument/2006/relationships" r:id="rId3"/>
        </xdr:cNvPr>
        <xdr:cNvSpPr/>
      </xdr:nvSpPr>
      <xdr:spPr>
        <a:xfrm>
          <a:off x="6667499" y="247649"/>
          <a:ext cx="1743075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1</xdr:col>
      <xdr:colOff>704851</xdr:colOff>
      <xdr:row>8</xdr:row>
      <xdr:rowOff>9525</xdr:rowOff>
    </xdr:from>
    <xdr:to>
      <xdr:col>3</xdr:col>
      <xdr:colOff>695326</xdr:colOff>
      <xdr:row>11</xdr:row>
      <xdr:rowOff>9525</xdr:rowOff>
    </xdr:to>
    <xdr:sp macro="[0]!AjouterStock" textlink="">
      <xdr:nvSpPr>
        <xdr:cNvPr id="8" name="Rectangle à coins arrondis 7"/>
        <xdr:cNvSpPr/>
      </xdr:nvSpPr>
      <xdr:spPr>
        <a:xfrm>
          <a:off x="1466851" y="1533525"/>
          <a:ext cx="146685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des produits</a:t>
          </a:r>
          <a:r>
            <a:rPr lang="fr-FR" sz="1100" baseline="0"/>
            <a:t> en stock</a:t>
          </a:r>
          <a:endParaRPr lang="fr-FR" sz="1100"/>
        </a:p>
      </xdr:txBody>
    </xdr:sp>
    <xdr:clientData/>
  </xdr:twoCellAnchor>
  <xdr:twoCellAnchor>
    <xdr:from>
      <xdr:col>4</xdr:col>
      <xdr:colOff>466725</xdr:colOff>
      <xdr:row>8</xdr:row>
      <xdr:rowOff>19050</xdr:rowOff>
    </xdr:from>
    <xdr:to>
      <xdr:col>4</xdr:col>
      <xdr:colOff>1905000</xdr:colOff>
      <xdr:row>11</xdr:row>
      <xdr:rowOff>19050</xdr:rowOff>
    </xdr:to>
    <xdr:sp macro="[0]!ModifierAchat" textlink="">
      <xdr:nvSpPr>
        <xdr:cNvPr id="9" name="Rectangle à coins arrondis 8"/>
        <xdr:cNvSpPr/>
      </xdr:nvSpPr>
      <xdr:spPr>
        <a:xfrm>
          <a:off x="4210050" y="1543050"/>
          <a:ext cx="14382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 achat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1285875</xdr:colOff>
      <xdr:row>0</xdr:row>
      <xdr:rowOff>152400</xdr:rowOff>
    </xdr:from>
    <xdr:to>
      <xdr:col>11</xdr:col>
      <xdr:colOff>1028700</xdr:colOff>
      <xdr:row>3</xdr:row>
      <xdr:rowOff>104775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11010900" y="152400"/>
          <a:ext cx="104775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10</xdr:col>
      <xdr:colOff>1285875</xdr:colOff>
      <xdr:row>4</xdr:row>
      <xdr:rowOff>66676</xdr:rowOff>
    </xdr:from>
    <xdr:to>
      <xdr:col>11</xdr:col>
      <xdr:colOff>1057275</xdr:colOff>
      <xdr:row>7</xdr:row>
      <xdr:rowOff>19051</xdr:rowOff>
    </xdr:to>
    <xdr:sp macro="[0]!Enregistrer" textlink="">
      <xdr:nvSpPr>
        <xdr:cNvPr id="6" name="Rectangle à coins arrondis 5"/>
        <xdr:cNvSpPr/>
      </xdr:nvSpPr>
      <xdr:spPr>
        <a:xfrm>
          <a:off x="11010900" y="828676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10</xdr:col>
      <xdr:colOff>1285875</xdr:colOff>
      <xdr:row>8</xdr:row>
      <xdr:rowOff>0</xdr:rowOff>
    </xdr:from>
    <xdr:to>
      <xdr:col>11</xdr:col>
      <xdr:colOff>1076325</xdr:colOff>
      <xdr:row>10</xdr:row>
      <xdr:rowOff>142875</xdr:rowOff>
    </xdr:to>
    <xdr:sp macro="[0]!Enregistrer_et_quitter" textlink="">
      <xdr:nvSpPr>
        <xdr:cNvPr id="7" name="Rectangle à coins arrondis 6"/>
        <xdr:cNvSpPr/>
      </xdr:nvSpPr>
      <xdr:spPr>
        <a:xfrm>
          <a:off x="11010900" y="1524000"/>
          <a:ext cx="1095375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1078528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6</xdr:col>
      <xdr:colOff>485775</xdr:colOff>
      <xdr:row>1</xdr:row>
      <xdr:rowOff>19050</xdr:rowOff>
    </xdr:from>
    <xdr:to>
      <xdr:col>8</xdr:col>
      <xdr:colOff>533400</xdr:colOff>
      <xdr:row>5</xdr:row>
      <xdr:rowOff>123825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6991350" y="209550"/>
          <a:ext cx="1733550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3</xdr:col>
      <xdr:colOff>180975</xdr:colOff>
      <xdr:row>8</xdr:row>
      <xdr:rowOff>9525</xdr:rowOff>
    </xdr:from>
    <xdr:to>
      <xdr:col>5</xdr:col>
      <xdr:colOff>171450</xdr:colOff>
      <xdr:row>10</xdr:row>
      <xdr:rowOff>114300</xdr:rowOff>
    </xdr:to>
    <xdr:sp macro="[0]!ModifierVente" textlink="">
      <xdr:nvSpPr>
        <xdr:cNvPr id="10" name="Rectangle à coins arrondis 9"/>
        <xdr:cNvSpPr/>
      </xdr:nvSpPr>
      <xdr:spPr>
        <a:xfrm>
          <a:off x="3000375" y="1533525"/>
          <a:ext cx="1543050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une vente</a:t>
          </a:r>
        </a:p>
      </xdr:txBody>
    </xdr:sp>
    <xdr:clientData/>
  </xdr:twoCellAnchor>
  <xdr:twoCellAnchor>
    <xdr:from>
      <xdr:col>1</xdr:col>
      <xdr:colOff>381000</xdr:colOff>
      <xdr:row>8</xdr:row>
      <xdr:rowOff>19050</xdr:rowOff>
    </xdr:from>
    <xdr:to>
      <xdr:col>2</xdr:col>
      <xdr:colOff>1114425</xdr:colOff>
      <xdr:row>10</xdr:row>
      <xdr:rowOff>123825</xdr:rowOff>
    </xdr:to>
    <xdr:sp macro="[0]!AjouterVente" textlink="">
      <xdr:nvSpPr>
        <xdr:cNvPr id="3" name="Rectangle à coins arrondis 2"/>
        <xdr:cNvSpPr/>
      </xdr:nvSpPr>
      <xdr:spPr>
        <a:xfrm>
          <a:off x="1143000" y="1543050"/>
          <a:ext cx="1571625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une</a:t>
          </a:r>
          <a:r>
            <a:rPr lang="fr-FR" sz="1100" baseline="0"/>
            <a:t> vente</a:t>
          </a:r>
          <a:endParaRPr lang="fr-F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1</xdr:row>
      <xdr:rowOff>66676</xdr:rowOff>
    </xdr:from>
    <xdr:to>
      <xdr:col>8</xdr:col>
      <xdr:colOff>542924</xdr:colOff>
      <xdr:row>4</xdr:row>
      <xdr:rowOff>104776</xdr:rowOff>
    </xdr:to>
    <xdr:sp macro="" textlink="">
      <xdr:nvSpPr>
        <xdr:cNvPr id="2" name="Rectangle à coins arrondis 1">
          <a:hlinkClick xmlns:r="http://schemas.openxmlformats.org/officeDocument/2006/relationships" r:id="rId1"/>
        </xdr:cNvPr>
        <xdr:cNvSpPr/>
      </xdr:nvSpPr>
      <xdr:spPr>
        <a:xfrm>
          <a:off x="9086849" y="257176"/>
          <a:ext cx="1114425" cy="41910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590550</xdr:colOff>
      <xdr:row>5</xdr:row>
      <xdr:rowOff>47626</xdr:rowOff>
    </xdr:from>
    <xdr:to>
      <xdr:col>8</xdr:col>
      <xdr:colOff>571500</xdr:colOff>
      <xdr:row>7</xdr:row>
      <xdr:rowOff>190501</xdr:rowOff>
    </xdr:to>
    <xdr:sp macro="[0]!Enregistrer" textlink="">
      <xdr:nvSpPr>
        <xdr:cNvPr id="3" name="Rectangle à coins arrondis 2"/>
        <xdr:cNvSpPr/>
      </xdr:nvSpPr>
      <xdr:spPr>
        <a:xfrm>
          <a:off x="9086850" y="809626"/>
          <a:ext cx="11430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590549</xdr:colOff>
      <xdr:row>8</xdr:row>
      <xdr:rowOff>66675</xdr:rowOff>
    </xdr:from>
    <xdr:to>
      <xdr:col>8</xdr:col>
      <xdr:colOff>590550</xdr:colOff>
      <xdr:row>10</xdr:row>
      <xdr:rowOff>171450</xdr:rowOff>
    </xdr:to>
    <xdr:sp macro="[0]!Enregistrer_et_quitter" textlink="">
      <xdr:nvSpPr>
        <xdr:cNvPr id="4" name="Rectangle à coins arrondis 3"/>
        <xdr:cNvSpPr/>
      </xdr:nvSpPr>
      <xdr:spPr>
        <a:xfrm>
          <a:off x="9086849" y="1504950"/>
          <a:ext cx="1162051" cy="4857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392728</xdr:colOff>
      <xdr:row>6</xdr:row>
      <xdr:rowOff>9991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647700</xdr:colOff>
      <xdr:row>1</xdr:row>
      <xdr:rowOff>28575</xdr:rowOff>
    </xdr:from>
    <xdr:to>
      <xdr:col>6</xdr:col>
      <xdr:colOff>1285874</xdr:colOff>
      <xdr:row>4</xdr:row>
      <xdr:rowOff>133350</xdr:rowOff>
    </xdr:to>
    <xdr:sp macro="" textlink="">
      <xdr:nvSpPr>
        <xdr:cNvPr id="6" name="Rectangle à coins arrondis 5">
          <a:hlinkClick xmlns:r="http://schemas.openxmlformats.org/officeDocument/2006/relationships" r:id="rId3"/>
        </xdr:cNvPr>
        <xdr:cNvSpPr/>
      </xdr:nvSpPr>
      <xdr:spPr>
        <a:xfrm>
          <a:off x="6743700" y="219075"/>
          <a:ext cx="1647824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742950</xdr:colOff>
      <xdr:row>2</xdr:row>
      <xdr:rowOff>171450</xdr:rowOff>
    </xdr:from>
    <xdr:to>
      <xdr:col>10</xdr:col>
      <xdr:colOff>152400</xdr:colOff>
      <xdr:row>5</xdr:row>
      <xdr:rowOff>123825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8439150" y="552450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742950</xdr:colOff>
      <xdr:row>6</xdr:row>
      <xdr:rowOff>85726</xdr:rowOff>
    </xdr:from>
    <xdr:to>
      <xdr:col>10</xdr:col>
      <xdr:colOff>152400</xdr:colOff>
      <xdr:row>9</xdr:row>
      <xdr:rowOff>38101</xdr:rowOff>
    </xdr:to>
    <xdr:sp macro="[0]!Enregistrer" textlink="">
      <xdr:nvSpPr>
        <xdr:cNvPr id="6" name="Rectangle à coins arrondis 5"/>
        <xdr:cNvSpPr/>
      </xdr:nvSpPr>
      <xdr:spPr>
        <a:xfrm>
          <a:off x="8439150" y="1228726"/>
          <a:ext cx="13335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742950</xdr:colOff>
      <xdr:row>10</xdr:row>
      <xdr:rowOff>19050</xdr:rowOff>
    </xdr:from>
    <xdr:to>
      <xdr:col>10</xdr:col>
      <xdr:colOff>152400</xdr:colOff>
      <xdr:row>12</xdr:row>
      <xdr:rowOff>161925</xdr:rowOff>
    </xdr:to>
    <xdr:sp macro="[0]!Enregistrer_et_quitter" textlink="">
      <xdr:nvSpPr>
        <xdr:cNvPr id="7" name="Rectangle à coins arrondis 6"/>
        <xdr:cNvSpPr/>
      </xdr:nvSpPr>
      <xdr:spPr>
        <a:xfrm>
          <a:off x="8439150" y="2028825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640378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307003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9</xdr:col>
      <xdr:colOff>790575</xdr:colOff>
      <xdr:row>2</xdr:row>
      <xdr:rowOff>9525</xdr:rowOff>
    </xdr:from>
    <xdr:to>
      <xdr:col>11</xdr:col>
      <xdr:colOff>133350</xdr:colOff>
      <xdr:row>4</xdr:row>
      <xdr:rowOff>152400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10048875" y="3905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790575</xdr:colOff>
      <xdr:row>5</xdr:row>
      <xdr:rowOff>114301</xdr:rowOff>
    </xdr:from>
    <xdr:to>
      <xdr:col>11</xdr:col>
      <xdr:colOff>133350</xdr:colOff>
      <xdr:row>7</xdr:row>
      <xdr:rowOff>257176</xdr:rowOff>
    </xdr:to>
    <xdr:sp macro="[0]!Enregistrer" textlink="">
      <xdr:nvSpPr>
        <xdr:cNvPr id="4" name="Rectangle à coins arrondis 3"/>
        <xdr:cNvSpPr/>
      </xdr:nvSpPr>
      <xdr:spPr>
        <a:xfrm>
          <a:off x="10048875" y="1066801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790575</xdr:colOff>
      <xdr:row>8</xdr:row>
      <xdr:rowOff>133350</xdr:rowOff>
    </xdr:from>
    <xdr:to>
      <xdr:col>11</xdr:col>
      <xdr:colOff>133350</xdr:colOff>
      <xdr:row>11</xdr:row>
      <xdr:rowOff>85725</xdr:rowOff>
    </xdr:to>
    <xdr:sp macro="[0]!Enregistrer_et_quitter" textlink="">
      <xdr:nvSpPr>
        <xdr:cNvPr id="5" name="Rectangle à coins arrondis 4"/>
        <xdr:cNvSpPr/>
      </xdr:nvSpPr>
      <xdr:spPr>
        <a:xfrm>
          <a:off x="10048875" y="17621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116503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371475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83820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11</xdr:col>
      <xdr:colOff>0</xdr:colOff>
      <xdr:row>6</xdr:row>
      <xdr:rowOff>104776</xdr:rowOff>
    </xdr:from>
    <xdr:to>
      <xdr:col>12</xdr:col>
      <xdr:colOff>371475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83820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11</xdr:col>
      <xdr:colOff>0</xdr:colOff>
      <xdr:row>9</xdr:row>
      <xdr:rowOff>123825</xdr:rowOff>
    </xdr:from>
    <xdr:to>
      <xdr:col>12</xdr:col>
      <xdr:colOff>371475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83820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402253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7</xdr:col>
      <xdr:colOff>647700</xdr:colOff>
      <xdr:row>4</xdr:row>
      <xdr:rowOff>38100</xdr:rowOff>
    </xdr:from>
    <xdr:to>
      <xdr:col>8</xdr:col>
      <xdr:colOff>771525</xdr:colOff>
      <xdr:row>6</xdr:row>
      <xdr:rowOff>180975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06000" y="800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647700</xdr:colOff>
      <xdr:row>7</xdr:row>
      <xdr:rowOff>142876</xdr:rowOff>
    </xdr:from>
    <xdr:to>
      <xdr:col>8</xdr:col>
      <xdr:colOff>771525</xdr:colOff>
      <xdr:row>9</xdr:row>
      <xdr:rowOff>180976</xdr:rowOff>
    </xdr:to>
    <xdr:sp macro="[0]!Enregistrer" textlink="">
      <xdr:nvSpPr>
        <xdr:cNvPr id="4" name="Rectangle à coins arrondis 3"/>
        <xdr:cNvSpPr/>
      </xdr:nvSpPr>
      <xdr:spPr>
        <a:xfrm>
          <a:off x="9906000" y="14763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657225</xdr:colOff>
      <xdr:row>10</xdr:row>
      <xdr:rowOff>114300</xdr:rowOff>
    </xdr:from>
    <xdr:to>
      <xdr:col>8</xdr:col>
      <xdr:colOff>781050</xdr:colOff>
      <xdr:row>13</xdr:row>
      <xdr:rowOff>66675</xdr:rowOff>
    </xdr:to>
    <xdr:sp macro="[0]!Enregistrer_et_quitter" textlink="">
      <xdr:nvSpPr>
        <xdr:cNvPr id="5" name="Rectangle à coins arrondis 4"/>
        <xdr:cNvSpPr/>
      </xdr:nvSpPr>
      <xdr:spPr>
        <a:xfrm>
          <a:off x="9734550" y="21240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CodeCaisse1" displayName="CodeCaisse1" ref="B15:G21" totalsRowShown="0" headerRowDxfId="189" dataDxfId="188">
  <autoFilter ref="B15:G21"/>
  <tableColumns count="6">
    <tableColumn id="13" name="Code caisse" dataDxfId="195"/>
    <tableColumn id="12" name="Référence produit" dataDxfId="194">
      <calculatedColumnFormula>"BON"&amp;TEXT(ROW(B1),"000")</calculatedColumnFormula>
    </tableColumn>
    <tableColumn id="2" name="Désignation" dataDxfId="193"/>
    <tableColumn id="15" name="Fournisseur" dataDxfId="192"/>
    <tableColumn id="3" name="Marque" dataDxfId="191"/>
    <tableColumn id="6" name="Prix de vente" dataDxfId="19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CodeCaisse2" displayName="CodeCaisse2" ref="B23:G27" totalsRowShown="0" headerRowDxfId="181" dataDxfId="180">
  <autoFilter ref="B23:G27"/>
  <tableColumns count="6">
    <tableColumn id="1" name="Code caisse" dataDxfId="187"/>
    <tableColumn id="2" name="Référence produit" dataDxfId="186">
      <calculatedColumnFormula>"BOU"&amp;TEXT(ROW(B1),"000")</calculatedColumnFormula>
    </tableColumn>
    <tableColumn id="3" name="Désignation" dataDxfId="185"/>
    <tableColumn id="6" name="Fournisseur" dataDxfId="184"/>
    <tableColumn id="4" name="Marque" dataDxfId="183"/>
    <tableColumn id="5" name="Prix de vente" dataDxfId="1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odeCaisse3" displayName="CodeCaisse3" ref="B29:G32" totalsRowShown="0" headerRowDxfId="173" dataDxfId="172">
  <autoFilter ref="B29:G32"/>
  <tableColumns count="6">
    <tableColumn id="1" name="Code caisse" dataDxfId="179"/>
    <tableColumn id="2" name="Référence produit" dataDxfId="178">
      <calculatedColumnFormula>"COL"&amp;TEXT(ROW(B1),"000")</calculatedColumnFormula>
    </tableColumn>
    <tableColumn id="3" name="Désignation" dataDxfId="177"/>
    <tableColumn id="6" name="Fournisseur" dataDxfId="176"/>
    <tableColumn id="4" name="Marque" dataDxfId="175"/>
    <tableColumn id="5" name="Prix de vente" dataDxfId="1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CodeCaisse4" displayName="CodeCaisse4" ref="B34:G35" insertRow="1" totalsRowShown="0" headerRowDxfId="165" dataDxfId="164">
  <autoFilter ref="B34:G35"/>
  <tableColumns count="6">
    <tableColumn id="1" name="Code caisse" dataDxfId="171"/>
    <tableColumn id="2" name="Référence produit" dataDxfId="170">
      <calculatedColumnFormula>"PAR"&amp;TEXT(ROW(B1),"000")</calculatedColumnFormula>
    </tableColumn>
    <tableColumn id="3" name="Désignation" dataDxfId="169"/>
    <tableColumn id="6" name="Fournisseur" dataDxfId="168"/>
    <tableColumn id="4" name="Marque" dataDxfId="167"/>
    <tableColumn id="5" name="Prix de vente" dataDxfId="16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CodeCaisse5" displayName="CodeCaisse5" ref="B37:G38" insertRow="1" totalsRowShown="0" headerRowDxfId="157" dataDxfId="156">
  <autoFilter ref="B37:G38"/>
  <tableColumns count="6">
    <tableColumn id="1" name="Code caisse" dataDxfId="163"/>
    <tableColumn id="2" name="Référence produit" dataDxfId="162">
      <calculatedColumnFormula>"BRA"&amp;TEXT(ROW(B1),"000")</calculatedColumnFormula>
    </tableColumn>
    <tableColumn id="3" name="Désignation" dataDxfId="161"/>
    <tableColumn id="6" name="Fournisseur" dataDxfId="160"/>
    <tableColumn id="4" name="Marque" dataDxfId="159"/>
    <tableColumn id="5" name="Prix de vente" dataDxfId="1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CodeCaisse6" displayName="CodeCaisse6" ref="B40:G41" insertRow="1" totalsRowShown="0" headerRowDxfId="149" dataDxfId="148">
  <autoFilter ref="B40:G41"/>
  <tableColumns count="6">
    <tableColumn id="1" name="Code caisse" dataDxfId="155"/>
    <tableColumn id="2" name="Référence produit" dataDxfId="154">
      <calculatedColumnFormula>"CLO"&amp;TEXT(ROW(B1),"000")</calculatedColumnFormula>
    </tableColumn>
    <tableColumn id="3" name="Désignation" dataDxfId="153"/>
    <tableColumn id="6" name="Fournisseur" dataDxfId="152"/>
    <tableColumn id="4" name="Marque" dataDxfId="151"/>
    <tableColumn id="5" name="Prix de vente" dataDxfId="15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CodeCaisse7" displayName="CodeCaisse7" ref="B43:G44" insertRow="1" totalsRowShown="0" headerRowDxfId="141" dataDxfId="140">
  <autoFilter ref="B43:G44"/>
  <tableColumns count="6">
    <tableColumn id="1" name="Code caisse" dataDxfId="147"/>
    <tableColumn id="2" name="Référence produit" dataDxfId="146">
      <calculatedColumnFormula>"PIE"&amp;TEXT(ROW(B1),"000")</calculatedColumnFormula>
    </tableColumn>
    <tableColumn id="3" name="Désignation" dataDxfId="145"/>
    <tableColumn id="6" name="Fournisseur" dataDxfId="144"/>
    <tableColumn id="4" name="Marque" dataDxfId="143"/>
    <tableColumn id="5" name="Prix de vente" dataDxfId="1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CodeCaisse8" displayName="CodeCaisse8" ref="B46:G47" insertRow="1" totalsRowShown="0" headerRowDxfId="133" dataDxfId="132">
  <autoFilter ref="B46:G47"/>
  <tableColumns count="6">
    <tableColumn id="1" name="Code caisse" dataDxfId="139"/>
    <tableColumn id="2" name="Référence produit" dataDxfId="138">
      <calculatedColumnFormula>"CHE"&amp;TEXT(ROW(B1),"000")</calculatedColumnFormula>
    </tableColumn>
    <tableColumn id="3" name="Désignation" dataDxfId="137"/>
    <tableColumn id="6" name="Fournisseur" dataDxfId="136"/>
    <tableColumn id="4" name="Marque" dataDxfId="135"/>
    <tableColumn id="5" name="Prix de vente" dataDxfId="1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CodeCaisse9" displayName="CodeCaisse9" ref="B49:G50" insertRow="1" totalsRowShown="0" headerRowDxfId="125" dataDxfId="124">
  <autoFilter ref="B49:G50"/>
  <tableColumns count="6">
    <tableColumn id="1" name="Code caisse" dataDxfId="131"/>
    <tableColumn id="2" name="Référence produit" dataDxfId="130">
      <calculatedColumnFormula>"SAC"&amp;TEXT(ROW(B1),"000")</calculatedColumnFormula>
    </tableColumn>
    <tableColumn id="3" name="Désignation" dataDxfId="129"/>
    <tableColumn id="6" name="Fournisseur" dataDxfId="128"/>
    <tableColumn id="4" name="Marque" dataDxfId="127"/>
    <tableColumn id="5" name="Prix de vente" dataDxfId="1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CodeCaisse10" displayName="CodeCaisse10" ref="B52:G53" insertRow="1" totalsRowShown="0" headerRowDxfId="117" dataDxfId="116">
  <autoFilter ref="B52:G53"/>
  <tableColumns count="6">
    <tableColumn id="1" name="Code caisse" dataDxfId="123"/>
    <tableColumn id="2" name="Référence produit" dataDxfId="122">
      <calculatedColumnFormula>"VER"&amp;TEXT(ROW(B1),"000")</calculatedColumnFormula>
    </tableColumn>
    <tableColumn id="3" name="Désignation" dataDxfId="121"/>
    <tableColumn id="6" name="Fournisseur" dataDxfId="120"/>
    <tableColumn id="4" name="Marque" dataDxfId="119"/>
    <tableColumn id="5" name="Prix de vente" dataDxfId="1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CodeCaisse11" displayName="CodeCaisse11" ref="B55:G56" insertRow="1" totalsRowShown="0" headerRowDxfId="109" dataDxfId="108">
  <autoFilter ref="B55:G56"/>
  <tableColumns count="6">
    <tableColumn id="1" name="Code caisse" dataDxfId="115"/>
    <tableColumn id="2" name="Référence produit" dataDxfId="114">
      <calculatedColumnFormula>"ACO"&amp;TEXT(ROW(B1),"000")</calculatedColumnFormula>
    </tableColumn>
    <tableColumn id="3" name="Désignation" dataDxfId="113"/>
    <tableColumn id="6" name="Fournisseur" dataDxfId="112"/>
    <tableColumn id="4" name="Marque" dataDxfId="111"/>
    <tableColumn id="5" name="Prix de vente" dataDxfId="11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CodeCaisse12" displayName="CodeCaisse12" ref="B58:G59" insertRow="1" totalsRowShown="0" headerRowDxfId="101" dataDxfId="100">
  <autoFilter ref="B58:G59"/>
  <tableColumns count="6">
    <tableColumn id="1" name="Code caisse" dataDxfId="107"/>
    <tableColumn id="2" name="Référence produit" dataDxfId="106">
      <calculatedColumnFormula>"TAT"&amp;TEXT(ROW(B1),"000")</calculatedColumnFormula>
    </tableColumn>
    <tableColumn id="3" name="Désignation" dataDxfId="105"/>
    <tableColumn id="6" name="Fournisseur" dataDxfId="104"/>
    <tableColumn id="4" name="Marque" dataDxfId="103"/>
    <tableColumn id="5" name="Prix de vente" dataDxfId="10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CodeCaisse13" displayName="CodeCaisse13" ref="B61:G62" insertRow="1" totalsRowShown="0" headerRowDxfId="93" dataDxfId="92">
  <autoFilter ref="B61:G62"/>
  <tableColumns count="6">
    <tableColumn id="1" name="Code caisse" dataDxfId="99"/>
    <tableColumn id="2" name="Référence produit" dataDxfId="98">
      <calculatedColumnFormula>"ACT"&amp;TEXT(ROW(B1),"000")</calculatedColumnFormula>
    </tableColumn>
    <tableColumn id="3" name="Désignation" dataDxfId="97"/>
    <tableColumn id="6" name="Fournisseur" dataDxfId="96"/>
    <tableColumn id="4" name="Marque" dataDxfId="95"/>
    <tableColumn id="5" name="Prix de vente" dataDxfId="9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CodeCaisse14" displayName="CodeCaisse14" ref="B64:G65" insertRow="1" totalsRowShown="0" headerRowDxfId="85" dataDxfId="84">
  <autoFilter ref="B64:G65"/>
  <tableColumns count="6">
    <tableColumn id="1" name="Code caisse" dataDxfId="91"/>
    <tableColumn id="2" name="Référence produit" dataDxfId="90">
      <calculatedColumnFormula>"CAD"&amp;TEXT(ROW(B1),"000")</calculatedColumnFormula>
    </tableColumn>
    <tableColumn id="3" name="Désignation" dataDxfId="89"/>
    <tableColumn id="6" name="Fournisseur" dataDxfId="88"/>
    <tableColumn id="4" name="Marque" dataDxfId="87"/>
    <tableColumn id="5" name="Prix de vente" dataDxfId="8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CodeCaisse15" displayName="CodeCaisse15" ref="B67:G68" insertRow="1" totalsRowShown="0" headerRowDxfId="77" dataDxfId="76">
  <autoFilter ref="B67:G68"/>
  <tableColumns count="6">
    <tableColumn id="1" name="Code caisse" dataDxfId="83"/>
    <tableColumn id="2" name="Référence produit" dataDxfId="82">
      <calculatedColumnFormula>"TEL"&amp;TEXT(ROW(B1),"000")</calculatedColumnFormula>
    </tableColumn>
    <tableColumn id="3" name="Désignation" dataDxfId="81"/>
    <tableColumn id="6" name="Fournisseur" dataDxfId="80"/>
    <tableColumn id="4" name="Marque" dataDxfId="79"/>
    <tableColumn id="5" name="Prix de vente" dataDxfId="7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8" name="CodeCaisse16" displayName="CodeCaisse16" ref="B70:G71" insertRow="1" totalsRowShown="0" headerRowDxfId="69" dataDxfId="68">
  <autoFilter ref="B70:G71"/>
  <tableColumns count="6">
    <tableColumn id="1" name="Code caisse" dataDxfId="75"/>
    <tableColumn id="2" name="Référence produit" dataDxfId="74">
      <calculatedColumnFormula>"BAG"&amp;TEXT(ROW(B1),"000")</calculatedColumnFormula>
    </tableColumn>
    <tableColumn id="3" name="Désignation" dataDxfId="73"/>
    <tableColumn id="6" name="Fournisseur" dataDxfId="72"/>
    <tableColumn id="4" name="Marque" dataDxfId="71"/>
    <tableColumn id="5" name="Prix de vente" dataDxfId="7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CodeCaisse17" displayName="CodeCaisse17" ref="B73:G74" insertRow="1" totalsRowShown="0" headerRowDxfId="61" dataDxfId="60">
  <autoFilter ref="B73:G74"/>
  <tableColumns count="6">
    <tableColumn id="1" name="Code caisse" dataDxfId="67"/>
    <tableColumn id="2" name="Référence produit" dataDxfId="66">
      <calculatedColumnFormula>"ECH"&amp;TEXT(ROW(B1),"000")</calculatedColumnFormula>
    </tableColumn>
    <tableColumn id="3" name="Désignation" dataDxfId="65"/>
    <tableColumn id="6" name="Fournisseur" dataDxfId="64"/>
    <tableColumn id="4" name="Marque" dataDxfId="63"/>
    <tableColumn id="5" name="Prix de vente" dataDxfId="6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0" name="CodeCaisse18" displayName="CodeCaisse18" ref="B76:G77" insertRow="1" totalsRowShown="0" headerRowDxfId="53" dataDxfId="52">
  <autoFilter ref="B76:G77"/>
  <tableColumns count="6">
    <tableColumn id="1" name="Code caisse" dataDxfId="59"/>
    <tableColumn id="2" name="Référence produit" dataDxfId="58">
      <calculatedColumnFormula>"CAR"&amp;TEXT(ROW(B1),"000")</calculatedColumnFormula>
    </tableColumn>
    <tableColumn id="3" name="Désignation" dataDxfId="57"/>
    <tableColumn id="6" name="Fournisseur" dataDxfId="56"/>
    <tableColumn id="4" name="Marque" dataDxfId="55"/>
    <tableColumn id="5" name="Prix de vente" dataDxfId="5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CodeCaisse19" displayName="CodeCaisse19" ref="B79:G80" insertRow="1" totalsRowShown="0" headerRowDxfId="45" dataDxfId="44">
  <autoFilter ref="B79:G80"/>
  <tableColumns count="6">
    <tableColumn id="1" name="Code caisse" dataDxfId="51"/>
    <tableColumn id="2" name="Référence produit" dataDxfId="50">
      <calculatedColumnFormula>"COS"&amp;TEXT(ROW(B1),"000")</calculatedColumnFormula>
    </tableColumn>
    <tableColumn id="3" name="Désignation" dataDxfId="49"/>
    <tableColumn id="6" name="Fournisseur" dataDxfId="48"/>
    <tableColumn id="4" name="Marque" dataDxfId="47"/>
    <tableColumn id="5" name="Prix de vente" dataDxfId="4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fournisseurs" displayName="fournisseurs" ref="C16:G21" totalsRowShown="0" headerRowDxfId="38" dataDxfId="37">
  <autoFilter ref="C16:G21"/>
  <tableColumns count="5">
    <tableColumn id="1" name="Référence" dataDxfId="43">
      <calculatedColumnFormula>"FOUR"&amp;TEXT(ROW(C1),"000")</calculatedColumnFormula>
    </tableColumn>
    <tableColumn id="2" name="Désignation" dataDxfId="42"/>
    <tableColumn id="3" name="Adresse site" dataDxfId="41"/>
    <tableColumn id="4" name="Autre contact" dataDxfId="40"/>
    <tableColumn id="5" name="Commentaires" dataDxfId="3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" name="achats" displayName="achats" ref="B14:J22" totalsRowShown="0" headerRowDxfId="207" dataDxfId="206">
  <autoFilter ref="B14:J22"/>
  <tableColumns count="9">
    <tableColumn id="1" name="Date" dataDxfId="5"/>
    <tableColumn id="2" name="Code caisse" dataDxfId="3"/>
    <tableColumn id="3" name="Référence produit" dataDxfId="4"/>
    <tableColumn id="4" name="Désignation" dataDxfId="205"/>
    <tableColumn id="9" name="Marque" dataDxfId="204"/>
    <tableColumn id="5" name="Quantité" dataDxfId="203"/>
    <tableColumn id="6" name="Prix d'achat unitaire" dataDxfId="202"/>
    <tableColumn id="7" name="Prix de vente unitaire" dataDxfId="201"/>
    <tableColumn id="8" name="Commentaires" dataDxfId="20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ventes" displayName="ventes" ref="B14:M22" totalsRowShown="0" headerRowDxfId="24" dataDxfId="23">
  <autoFilter ref="B14:M22"/>
  <tableColumns count="12">
    <tableColumn id="1" name="Date" dataDxfId="36"/>
    <tableColumn id="10" name="Nature opération" dataDxfId="35"/>
    <tableColumn id="2" name="Code caisse" dataDxfId="34"/>
    <tableColumn id="3" name="Référence produit" dataDxfId="33"/>
    <tableColumn id="4" name="Désignation" dataDxfId="32"/>
    <tableColumn id="12" name="Marque" dataDxfId="31"/>
    <tableColumn id="5" name="Quantité" dataDxfId="30"/>
    <tableColumn id="9" name="Prix de vente unitaire" dataDxfId="29"/>
    <tableColumn id="11" name="Soldes" dataDxfId="28"/>
    <tableColumn id="6" name="Total" dataDxfId="27">
      <calculatedColumnFormula>ventes[Quantité]*ventes[Prix de vente unitaire]</calculatedColumnFormula>
    </tableColumn>
    <tableColumn id="7" name="Mode paiement" dataDxfId="26"/>
    <tableColumn id="8" name="Commentaires" dataDxfId="2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3" name="Table1" displayName="Table1" ref="A1:D4" totalsRowShown="0" headerRowDxfId="17" dataDxfId="16">
  <autoFilter ref="A1:D4"/>
  <tableColumns count="4">
    <tableColumn id="1" name="Colonne1" dataDxfId="21"/>
    <tableColumn id="2" name="Colonne2" dataDxfId="20"/>
    <tableColumn id="3" name="Colonne3" dataDxfId="19"/>
    <tableColumn id="4" name="Colonne4" dataDxfId="1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Tableau27" displayName="Tableau27" ref="B14:I15" totalsRowShown="0" headerRowDxfId="6" dataDxfId="7" tableBorderDxfId="22">
  <autoFilter ref="B14:I15"/>
  <tableColumns count="8">
    <tableColumn id="1" name="Code caisse" dataDxfId="15"/>
    <tableColumn id="2" name="Référence produit" dataDxfId="14"/>
    <tableColumn id="3" name="Désignation" dataDxfId="13"/>
    <tableColumn id="9" name="Marque" dataDxfId="12"/>
    <tableColumn id="4" name="Quantité" dataDxfId="11"/>
    <tableColumn id="10" name="Coût d'achat unitaire (PEPS)" dataDxfId="10"/>
    <tableColumn id="5" name="Coût du stock" dataDxfId="9"/>
    <tableColumn id="6" name="Valeur à la vente" dataDxfId="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au23" displayName="Tableau23" ref="B11:D26" totalsRowShown="0" headerRowDxfId="199">
  <autoFilter ref="B11:D26"/>
  <tableColumns count="3">
    <tableColumn id="4" name="Nombre" dataDxfId="198"/>
    <tableColumn id="1" name="€" dataDxfId="197"/>
    <tableColumn id="2" name="Total" dataDxfId="196">
      <calculatedColumnFormula>Tableau23[[#This Row],[Nombre]]*Tableau23[[#This Row],[€]]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Personnalisé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5F0060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J5"/>
  <sheetViews>
    <sheetView showGridLines="0" workbookViewId="0"/>
  </sheetViews>
  <sheetFormatPr baseColWidth="10" defaultRowHeight="15" x14ac:dyDescent="0.25"/>
  <sheetData>
    <row r="5" spans="10:10" ht="23.25" x14ac:dyDescent="0.35">
      <c r="J5" s="2" t="s">
        <v>32</v>
      </c>
    </row>
  </sheetData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7:G79"/>
  <sheetViews>
    <sheetView showGridLines="0" tabSelected="1" topLeftCell="A16" workbookViewId="0">
      <selection activeCell="A30" sqref="A30"/>
    </sheetView>
  </sheetViews>
  <sheetFormatPr baseColWidth="10" defaultRowHeight="15" x14ac:dyDescent="0.25"/>
  <cols>
    <col min="1" max="1" width="11.42578125" style="7"/>
    <col min="2" max="2" width="21" style="36" bestFit="1" customWidth="1"/>
    <col min="3" max="3" width="22.5703125" style="7" customWidth="1"/>
    <col min="4" max="4" width="34.42578125" style="4" customWidth="1"/>
    <col min="5" max="5" width="15" style="7" bestFit="1" customWidth="1"/>
    <col min="6" max="6" width="18.5703125" style="7" customWidth="1"/>
    <col min="7" max="7" width="15" style="25" bestFit="1" customWidth="1"/>
    <col min="8" max="8" width="11.5703125" style="7" customWidth="1"/>
    <col min="9" max="10" width="12.5703125" style="7" customWidth="1"/>
    <col min="11" max="16384" width="11.42578125" style="7"/>
  </cols>
  <sheetData>
    <row r="7" spans="2:7" ht="23.25" x14ac:dyDescent="0.35">
      <c r="E7" s="35" t="s">
        <v>36</v>
      </c>
      <c r="F7" s="35"/>
      <c r="G7" s="26"/>
    </row>
    <row r="8" spans="2:7" ht="23.25" x14ac:dyDescent="0.35">
      <c r="E8" s="6"/>
    </row>
    <row r="9" spans="2:7" ht="23.25" x14ac:dyDescent="0.35">
      <c r="E9" s="6"/>
    </row>
    <row r="10" spans="2:7" ht="23.25" x14ac:dyDescent="0.35">
      <c r="E10" s="6"/>
    </row>
    <row r="11" spans="2:7" ht="23.25" x14ac:dyDescent="0.35">
      <c r="E11" s="6"/>
    </row>
    <row r="14" spans="2:7" x14ac:dyDescent="0.25">
      <c r="B14" s="37" t="str">
        <f>'Code caisse'!$B$3</f>
        <v>Bonbons</v>
      </c>
      <c r="C14" s="38" t="str">
        <f xml:space="preserve"> "Code caisse :"</f>
        <v>Code caisse :</v>
      </c>
      <c r="D14" s="5">
        <f>'Code caisse'!$A$3</f>
        <v>1</v>
      </c>
    </row>
    <row r="15" spans="2:7" x14ac:dyDescent="0.25">
      <c r="B15" s="36" t="s">
        <v>11</v>
      </c>
      <c r="C15" s="7" t="s">
        <v>0</v>
      </c>
      <c r="D15" s="4" t="s">
        <v>1</v>
      </c>
      <c r="E15" s="7" t="s">
        <v>5</v>
      </c>
      <c r="F15" s="7" t="s">
        <v>10</v>
      </c>
      <c r="G15" s="25" t="s">
        <v>2</v>
      </c>
    </row>
    <row r="16" spans="2:7" x14ac:dyDescent="0.25">
      <c r="B16" s="36">
        <v>1</v>
      </c>
      <c r="C16" s="7" t="str">
        <f t="shared" ref="C16:C21" si="0">"BON"&amp;TEXT(ROW(B1),"000")</f>
        <v>BON001</v>
      </c>
      <c r="D16" s="4" t="s">
        <v>58</v>
      </c>
      <c r="E16" s="7" t="s">
        <v>49</v>
      </c>
      <c r="F16" s="7" t="s">
        <v>49</v>
      </c>
      <c r="G16" s="25" t="s">
        <v>49</v>
      </c>
    </row>
    <row r="17" spans="2:7" x14ac:dyDescent="0.25">
      <c r="B17" s="36">
        <v>1</v>
      </c>
      <c r="C17" s="7" t="str">
        <f t="shared" si="0"/>
        <v>BON002</v>
      </c>
      <c r="D17" s="4" t="s">
        <v>55</v>
      </c>
      <c r="E17" s="7" t="s">
        <v>56</v>
      </c>
      <c r="F17" s="7" t="s">
        <v>57</v>
      </c>
      <c r="G17" s="25">
        <v>14</v>
      </c>
    </row>
    <row r="18" spans="2:7" x14ac:dyDescent="0.25">
      <c r="B18" s="36">
        <v>1</v>
      </c>
      <c r="C18" s="7" t="str">
        <f t="shared" si="0"/>
        <v>BON003</v>
      </c>
      <c r="D18" s="4" t="s">
        <v>71</v>
      </c>
      <c r="E18" s="7" t="s">
        <v>72</v>
      </c>
      <c r="F18" s="7" t="s">
        <v>73</v>
      </c>
      <c r="G18" s="25">
        <v>12</v>
      </c>
    </row>
    <row r="19" spans="2:7" x14ac:dyDescent="0.25">
      <c r="B19" s="36">
        <v>1</v>
      </c>
      <c r="C19" s="7" t="str">
        <f t="shared" si="0"/>
        <v>BON004</v>
      </c>
      <c r="D19" s="4" t="s">
        <v>95</v>
      </c>
      <c r="F19" s="7" t="s">
        <v>96</v>
      </c>
      <c r="G19" s="25">
        <v>12</v>
      </c>
    </row>
    <row r="20" spans="2:7" x14ac:dyDescent="0.25">
      <c r="B20" s="36">
        <v>1</v>
      </c>
      <c r="C20" s="7" t="str">
        <f t="shared" si="0"/>
        <v>BON005</v>
      </c>
      <c r="D20" s="4" t="s">
        <v>49</v>
      </c>
      <c r="E20" s="7" t="s">
        <v>51</v>
      </c>
      <c r="F20" s="7" t="s">
        <v>118</v>
      </c>
      <c r="G20" s="25">
        <v>2</v>
      </c>
    </row>
    <row r="21" spans="2:7" x14ac:dyDescent="0.25">
      <c r="B21" s="36">
        <v>1</v>
      </c>
      <c r="C21" s="7" t="str">
        <f t="shared" si="0"/>
        <v>BON006</v>
      </c>
      <c r="D21" s="4" t="s">
        <v>122</v>
      </c>
      <c r="E21" s="7" t="s">
        <v>50</v>
      </c>
      <c r="F21" s="7" t="s">
        <v>123</v>
      </c>
      <c r="G21" s="25" t="s">
        <v>124</v>
      </c>
    </row>
    <row r="22" spans="2:7" x14ac:dyDescent="0.25">
      <c r="B22" s="37" t="str">
        <f>'Code caisse'!$B$4</f>
        <v>Boucles d'oreilles</v>
      </c>
      <c r="C22" s="38" t="str">
        <f xml:space="preserve"> "Code caisse :"</f>
        <v>Code caisse :</v>
      </c>
      <c r="D22" s="5">
        <f>'Code caisse'!$A$4</f>
        <v>2</v>
      </c>
    </row>
    <row r="23" spans="2:7" x14ac:dyDescent="0.25">
      <c r="B23" s="36" t="s">
        <v>11</v>
      </c>
      <c r="C23" s="7" t="s">
        <v>0</v>
      </c>
      <c r="D23" s="4" t="s">
        <v>1</v>
      </c>
      <c r="E23" s="7" t="s">
        <v>5</v>
      </c>
      <c r="F23" s="7" t="s">
        <v>10</v>
      </c>
      <c r="G23" s="25" t="s">
        <v>2</v>
      </c>
    </row>
    <row r="24" spans="2:7" x14ac:dyDescent="0.25">
      <c r="B24" s="36">
        <v>2</v>
      </c>
      <c r="C24" s="4" t="str">
        <f>"BOU"&amp;TEXT(ROW(B1),"000")</f>
        <v>BOU001</v>
      </c>
      <c r="D24" s="4" t="s">
        <v>50</v>
      </c>
      <c r="E24" s="7" t="s">
        <v>50</v>
      </c>
      <c r="F24" s="7" t="s">
        <v>50</v>
      </c>
      <c r="G24" s="25" t="s">
        <v>50</v>
      </c>
    </row>
    <row r="25" spans="2:7" x14ac:dyDescent="0.25">
      <c r="B25" s="36">
        <v>2</v>
      </c>
      <c r="C25" s="4" t="str">
        <f>"BOU"&amp;TEXT(ROW(B2),"000")</f>
        <v>BOU002</v>
      </c>
      <c r="D25" s="4" t="s">
        <v>97</v>
      </c>
      <c r="F25" s="7" t="s">
        <v>98</v>
      </c>
      <c r="G25" s="25">
        <v>12</v>
      </c>
    </row>
    <row r="26" spans="2:7" x14ac:dyDescent="0.25">
      <c r="B26" s="36">
        <v>2</v>
      </c>
      <c r="C26" s="4" t="str">
        <f>"BOU"&amp;TEXT(ROW(B3),"000")</f>
        <v>BOU003</v>
      </c>
      <c r="D26" s="4" t="s">
        <v>125</v>
      </c>
      <c r="E26" s="7" t="s">
        <v>51</v>
      </c>
      <c r="F26" s="7" t="s">
        <v>126</v>
      </c>
      <c r="G26" s="25" t="s">
        <v>124</v>
      </c>
    </row>
    <row r="27" spans="2:7" x14ac:dyDescent="0.25">
      <c r="B27" s="36">
        <v>2</v>
      </c>
      <c r="C27" s="4" t="str">
        <f>"BOU"&amp;TEXT(ROW(B4),"000")</f>
        <v>BOU004</v>
      </c>
      <c r="D27" s="4" t="s">
        <v>127</v>
      </c>
      <c r="E27" s="7" t="s">
        <v>49</v>
      </c>
      <c r="F27" s="7" t="s">
        <v>128</v>
      </c>
      <c r="G27" s="25">
        <v>2.2999999999999998</v>
      </c>
    </row>
    <row r="28" spans="2:7" x14ac:dyDescent="0.25">
      <c r="B28" s="37" t="str">
        <f>'Code caisse'!$B$5</f>
        <v>Colliers</v>
      </c>
      <c r="C28" s="38" t="str">
        <f xml:space="preserve"> "Code caisse :"</f>
        <v>Code caisse :</v>
      </c>
      <c r="D28" s="5">
        <f>'Code caisse'!$A$5</f>
        <v>3</v>
      </c>
    </row>
    <row r="29" spans="2:7" x14ac:dyDescent="0.25">
      <c r="B29" s="36" t="s">
        <v>11</v>
      </c>
      <c r="C29" s="7" t="s">
        <v>0</v>
      </c>
      <c r="D29" s="4" t="s">
        <v>1</v>
      </c>
      <c r="E29" s="7" t="s">
        <v>5</v>
      </c>
      <c r="F29" s="7" t="s">
        <v>10</v>
      </c>
      <c r="G29" s="25" t="s">
        <v>2</v>
      </c>
    </row>
    <row r="30" spans="2:7" x14ac:dyDescent="0.25">
      <c r="B30" s="36">
        <v>3</v>
      </c>
      <c r="C30" s="4" t="str">
        <f>"COL"&amp;TEXT(ROW(B1),"000")</f>
        <v>COL001</v>
      </c>
      <c r="D30" s="4" t="s">
        <v>138</v>
      </c>
      <c r="E30" s="7" t="s">
        <v>47</v>
      </c>
      <c r="F30" s="7" t="s">
        <v>48</v>
      </c>
      <c r="G30" s="25" t="s">
        <v>47</v>
      </c>
    </row>
    <row r="31" spans="2:7" x14ac:dyDescent="0.25">
      <c r="B31" s="36">
        <v>3</v>
      </c>
      <c r="C31" s="4" t="str">
        <f>"COL"&amp;TEXT(ROW(B2),"000")</f>
        <v>COL002</v>
      </c>
      <c r="D31" s="4" t="s">
        <v>99</v>
      </c>
      <c r="E31" s="7" t="s">
        <v>51</v>
      </c>
      <c r="F31" s="7" t="s">
        <v>100</v>
      </c>
      <c r="G31" s="25">
        <v>3</v>
      </c>
    </row>
    <row r="32" spans="2:7" x14ac:dyDescent="0.25">
      <c r="B32" s="36">
        <v>3</v>
      </c>
      <c r="C32" s="4" t="str">
        <f>"COL"&amp;TEXT(ROW(B3),"000")</f>
        <v>COL003</v>
      </c>
      <c r="D32" s="4" t="s">
        <v>139</v>
      </c>
      <c r="E32" s="7" t="s">
        <v>101</v>
      </c>
      <c r="F32" s="7" t="s">
        <v>140</v>
      </c>
      <c r="G32" s="25">
        <v>1.2</v>
      </c>
    </row>
    <row r="33" spans="2:7" x14ac:dyDescent="0.25">
      <c r="B33" s="37" t="str">
        <f>'Code caisse'!$B$6</f>
        <v>Parrures</v>
      </c>
      <c r="C33" s="38" t="str">
        <f xml:space="preserve"> "Code caisse :"</f>
        <v>Code caisse :</v>
      </c>
      <c r="D33" s="5">
        <f>'Code caisse'!$A$6</f>
        <v>4</v>
      </c>
    </row>
    <row r="34" spans="2:7" x14ac:dyDescent="0.25">
      <c r="B34" s="36" t="s">
        <v>11</v>
      </c>
      <c r="C34" s="7" t="s">
        <v>0</v>
      </c>
      <c r="D34" s="4" t="s">
        <v>1</v>
      </c>
      <c r="E34" s="7" t="s">
        <v>5</v>
      </c>
      <c r="F34" s="7" t="s">
        <v>10</v>
      </c>
      <c r="G34" s="25" t="s">
        <v>2</v>
      </c>
    </row>
    <row r="35" spans="2:7" x14ac:dyDescent="0.25">
      <c r="C35" s="4"/>
    </row>
    <row r="36" spans="2:7" x14ac:dyDescent="0.25">
      <c r="B36" s="37" t="str">
        <f>'Code caisse'!$B$7</f>
        <v>Bracelets</v>
      </c>
      <c r="C36" s="38" t="str">
        <f xml:space="preserve"> "Code caisse :"</f>
        <v>Code caisse :</v>
      </c>
      <c r="D36" s="5">
        <f>'Code caisse'!$A$7</f>
        <v>5</v>
      </c>
    </row>
    <row r="37" spans="2:7" x14ac:dyDescent="0.25">
      <c r="B37" s="36" t="s">
        <v>11</v>
      </c>
      <c r="C37" s="7" t="s">
        <v>0</v>
      </c>
      <c r="D37" s="4" t="s">
        <v>1</v>
      </c>
      <c r="E37" s="7" t="s">
        <v>5</v>
      </c>
      <c r="F37" s="7" t="s">
        <v>10</v>
      </c>
      <c r="G37" s="25" t="s">
        <v>2</v>
      </c>
    </row>
    <row r="39" spans="2:7" x14ac:dyDescent="0.25">
      <c r="B39" s="37" t="str">
        <f>'Code caisse'!$B$8</f>
        <v>Clous d'oreilles</v>
      </c>
      <c r="C39" s="38" t="str">
        <f xml:space="preserve"> "Code caisse :"</f>
        <v>Code caisse :</v>
      </c>
      <c r="D39" s="5">
        <f>'Code caisse'!$A$8</f>
        <v>6</v>
      </c>
    </row>
    <row r="40" spans="2:7" x14ac:dyDescent="0.25">
      <c r="B40" s="36" t="s">
        <v>11</v>
      </c>
      <c r="C40" s="7" t="s">
        <v>0</v>
      </c>
      <c r="D40" s="4" t="s">
        <v>1</v>
      </c>
      <c r="E40" s="7" t="s">
        <v>5</v>
      </c>
      <c r="F40" s="7" t="s">
        <v>10</v>
      </c>
      <c r="G40" s="25" t="s">
        <v>2</v>
      </c>
    </row>
    <row r="42" spans="2:7" x14ac:dyDescent="0.25">
      <c r="B42" s="37" t="str">
        <f>'Code caisse'!$B$9</f>
        <v>Piercings</v>
      </c>
      <c r="C42" s="38" t="str">
        <f xml:space="preserve"> "Code caisse :"</f>
        <v>Code caisse :</v>
      </c>
      <c r="D42" s="5">
        <f>'Code caisse'!$A$9</f>
        <v>7</v>
      </c>
    </row>
    <row r="43" spans="2:7" x14ac:dyDescent="0.25">
      <c r="B43" s="36" t="s">
        <v>11</v>
      </c>
      <c r="C43" s="7" t="s">
        <v>0</v>
      </c>
      <c r="D43" s="4" t="s">
        <v>1</v>
      </c>
      <c r="E43" s="7" t="s">
        <v>5</v>
      </c>
      <c r="F43" s="7" t="s">
        <v>10</v>
      </c>
      <c r="G43" s="25" t="s">
        <v>2</v>
      </c>
    </row>
    <row r="45" spans="2:7" x14ac:dyDescent="0.25">
      <c r="B45" s="37" t="str">
        <f>'Code caisse'!$B$10</f>
        <v>Chainettes chevilles</v>
      </c>
      <c r="C45" s="38" t="str">
        <f xml:space="preserve"> "Code caisse :"</f>
        <v>Code caisse :</v>
      </c>
      <c r="D45" s="5">
        <f>'Code caisse'!$A$10</f>
        <v>8</v>
      </c>
    </row>
    <row r="46" spans="2:7" x14ac:dyDescent="0.25">
      <c r="B46" s="36" t="s">
        <v>11</v>
      </c>
      <c r="C46" s="7" t="s">
        <v>0</v>
      </c>
      <c r="D46" s="4" t="s">
        <v>1</v>
      </c>
      <c r="E46" s="7" t="s">
        <v>5</v>
      </c>
      <c r="F46" s="7" t="s">
        <v>10</v>
      </c>
      <c r="G46" s="25" t="s">
        <v>2</v>
      </c>
    </row>
    <row r="48" spans="2:7" x14ac:dyDescent="0.25">
      <c r="B48" s="37" t="str">
        <f>'Code caisse'!$B$11</f>
        <v>Bijoux de sac</v>
      </c>
      <c r="C48" s="38" t="str">
        <f xml:space="preserve"> "Code caisse :"</f>
        <v>Code caisse :</v>
      </c>
      <c r="D48" s="5">
        <f>'Code caisse'!$A$11</f>
        <v>9</v>
      </c>
    </row>
    <row r="49" spans="2:7" x14ac:dyDescent="0.25">
      <c r="B49" s="36" t="s">
        <v>11</v>
      </c>
      <c r="C49" s="7" t="s">
        <v>0</v>
      </c>
      <c r="D49" s="4" t="s">
        <v>1</v>
      </c>
      <c r="E49" s="7" t="s">
        <v>5</v>
      </c>
      <c r="F49" s="7" t="s">
        <v>10</v>
      </c>
      <c r="G49" s="25" t="s">
        <v>2</v>
      </c>
    </row>
    <row r="51" spans="2:7" x14ac:dyDescent="0.25">
      <c r="B51" s="37" t="str">
        <f>'Code caisse'!$B$12</f>
        <v>Vernis</v>
      </c>
      <c r="C51" s="38" t="str">
        <f xml:space="preserve"> "Code caisse :"</f>
        <v>Code caisse :</v>
      </c>
      <c r="D51" s="5">
        <f>'Code caisse'!$A$12</f>
        <v>10</v>
      </c>
    </row>
    <row r="52" spans="2:7" x14ac:dyDescent="0.25">
      <c r="B52" s="36" t="s">
        <v>11</v>
      </c>
      <c r="C52" s="7" t="s">
        <v>0</v>
      </c>
      <c r="D52" s="4" t="s">
        <v>1</v>
      </c>
      <c r="E52" s="7" t="s">
        <v>5</v>
      </c>
      <c r="F52" s="7" t="s">
        <v>10</v>
      </c>
      <c r="G52" s="25" t="s">
        <v>2</v>
      </c>
    </row>
    <row r="54" spans="2:7" x14ac:dyDescent="0.25">
      <c r="B54" s="37" t="str">
        <f>'Code caisse'!$B$13</f>
        <v>Accessoires Ongles</v>
      </c>
      <c r="C54" s="38" t="str">
        <f xml:space="preserve"> "Code caisse :"</f>
        <v>Code caisse :</v>
      </c>
      <c r="D54" s="5">
        <f>'Code caisse'!$A$13</f>
        <v>11</v>
      </c>
    </row>
    <row r="55" spans="2:7" x14ac:dyDescent="0.25">
      <c r="B55" s="36" t="s">
        <v>11</v>
      </c>
      <c r="C55" s="7" t="s">
        <v>0</v>
      </c>
      <c r="D55" s="4" t="s">
        <v>1</v>
      </c>
      <c r="E55" s="7" t="s">
        <v>5</v>
      </c>
      <c r="F55" s="7" t="s">
        <v>10</v>
      </c>
      <c r="G55" s="25" t="s">
        <v>2</v>
      </c>
    </row>
    <row r="57" spans="2:7" x14ac:dyDescent="0.25">
      <c r="B57" s="37" t="str">
        <f>'Code caisse'!$B$14</f>
        <v xml:space="preserve">Tatoos </v>
      </c>
      <c r="C57" s="38" t="str">
        <f xml:space="preserve"> "Code caisse :"</f>
        <v>Code caisse :</v>
      </c>
      <c r="D57" s="5">
        <f>'Code caisse'!$A$14</f>
        <v>12</v>
      </c>
    </row>
    <row r="58" spans="2:7" x14ac:dyDescent="0.25">
      <c r="B58" s="36" t="s">
        <v>11</v>
      </c>
      <c r="C58" s="7" t="s">
        <v>0</v>
      </c>
      <c r="D58" s="4" t="s">
        <v>1</v>
      </c>
      <c r="E58" s="7" t="s">
        <v>5</v>
      </c>
      <c r="F58" s="7" t="s">
        <v>10</v>
      </c>
      <c r="G58" s="25" t="s">
        <v>2</v>
      </c>
    </row>
    <row r="60" spans="2:7" x14ac:dyDescent="0.25">
      <c r="B60" s="37" t="str">
        <f>'Code caisse'!$B$15</f>
        <v>Accessoires Tatoos</v>
      </c>
      <c r="C60" s="38" t="str">
        <f xml:space="preserve"> "Code caisse :"</f>
        <v>Code caisse :</v>
      </c>
      <c r="D60" s="5">
        <f>'Code caisse'!$A$15</f>
        <v>13</v>
      </c>
    </row>
    <row r="61" spans="2:7" x14ac:dyDescent="0.25">
      <c r="B61" s="36" t="s">
        <v>11</v>
      </c>
      <c r="C61" s="7" t="s">
        <v>0</v>
      </c>
      <c r="D61" s="4" t="s">
        <v>1</v>
      </c>
      <c r="E61" s="7" t="s">
        <v>5</v>
      </c>
      <c r="F61" s="7" t="s">
        <v>10</v>
      </c>
      <c r="G61" s="25" t="s">
        <v>2</v>
      </c>
    </row>
    <row r="63" spans="2:7" x14ac:dyDescent="0.25">
      <c r="B63" s="37" t="str">
        <f>'Code caisse'!$B$16</f>
        <v>Cadeaux</v>
      </c>
      <c r="C63" s="38" t="str">
        <f xml:space="preserve"> "Code caisse :"</f>
        <v>Code caisse :</v>
      </c>
      <c r="D63" s="5">
        <f>'Code caisse'!$A$16</f>
        <v>14</v>
      </c>
    </row>
    <row r="64" spans="2:7" x14ac:dyDescent="0.25">
      <c r="B64" s="36" t="s">
        <v>11</v>
      </c>
      <c r="C64" s="7" t="s">
        <v>0</v>
      </c>
      <c r="D64" s="4" t="s">
        <v>1</v>
      </c>
      <c r="E64" s="7" t="s">
        <v>5</v>
      </c>
      <c r="F64" s="7" t="s">
        <v>10</v>
      </c>
      <c r="G64" s="25" t="s">
        <v>2</v>
      </c>
    </row>
    <row r="66" spans="2:7" x14ac:dyDescent="0.25">
      <c r="B66" s="37" t="str">
        <f>'Code caisse'!$B$17</f>
        <v>Coques de téléphones</v>
      </c>
      <c r="C66" s="38" t="str">
        <f xml:space="preserve"> "Code caisse :"</f>
        <v>Code caisse :</v>
      </c>
      <c r="D66" s="5">
        <f>'Code caisse'!$A$17</f>
        <v>15</v>
      </c>
    </row>
    <row r="67" spans="2:7" x14ac:dyDescent="0.25">
      <c r="B67" s="36" t="s">
        <v>11</v>
      </c>
      <c r="C67" s="7" t="s">
        <v>0</v>
      </c>
      <c r="D67" s="4" t="s">
        <v>1</v>
      </c>
      <c r="E67" s="7" t="s">
        <v>5</v>
      </c>
      <c r="F67" s="7" t="s">
        <v>10</v>
      </c>
      <c r="G67" s="25" t="s">
        <v>2</v>
      </c>
    </row>
    <row r="69" spans="2:7" x14ac:dyDescent="0.25">
      <c r="B69" s="37" t="str">
        <f>'Code caisse'!$B$18</f>
        <v>Bagues</v>
      </c>
      <c r="C69" s="38" t="str">
        <f xml:space="preserve"> "Code caisse :"</f>
        <v>Code caisse :</v>
      </c>
      <c r="D69" s="5">
        <f>'Code caisse'!$A$18</f>
        <v>16</v>
      </c>
    </row>
    <row r="70" spans="2:7" x14ac:dyDescent="0.25">
      <c r="B70" s="36" t="s">
        <v>11</v>
      </c>
      <c r="C70" s="7" t="s">
        <v>0</v>
      </c>
      <c r="D70" s="4" t="s">
        <v>1</v>
      </c>
      <c r="E70" s="7" t="s">
        <v>5</v>
      </c>
      <c r="F70" s="7" t="s">
        <v>10</v>
      </c>
      <c r="G70" s="25" t="s">
        <v>2</v>
      </c>
    </row>
    <row r="72" spans="2:7" x14ac:dyDescent="0.25">
      <c r="B72" s="37" t="str">
        <f>'Code caisse'!$B$19</f>
        <v>Echarpes bijoux</v>
      </c>
      <c r="C72" s="38" t="str">
        <f xml:space="preserve"> "Code caisse :"</f>
        <v>Code caisse :</v>
      </c>
      <c r="D72" s="5">
        <f>'Code caisse'!$A$19</f>
        <v>17</v>
      </c>
    </row>
    <row r="73" spans="2:7" x14ac:dyDescent="0.25">
      <c r="B73" s="36" t="s">
        <v>11</v>
      </c>
      <c r="C73" s="7" t="s">
        <v>0</v>
      </c>
      <c r="D73" s="4" t="s">
        <v>1</v>
      </c>
      <c r="E73" s="7" t="s">
        <v>5</v>
      </c>
      <c r="F73" s="7" t="s">
        <v>10</v>
      </c>
      <c r="G73" s="25" t="s">
        <v>2</v>
      </c>
    </row>
    <row r="75" spans="2:7" x14ac:dyDescent="0.25">
      <c r="B75" s="37" t="str">
        <f>'Code caisse'!$B$20</f>
        <v>Cartes cadeaux</v>
      </c>
      <c r="C75" s="38" t="str">
        <f xml:space="preserve"> "Code caisse :"</f>
        <v>Code caisse :</v>
      </c>
      <c r="D75" s="5">
        <f>'Code caisse'!$A$20</f>
        <v>18</v>
      </c>
    </row>
    <row r="76" spans="2:7" x14ac:dyDescent="0.25">
      <c r="B76" s="36" t="s">
        <v>11</v>
      </c>
      <c r="C76" s="7" t="s">
        <v>0</v>
      </c>
      <c r="D76" s="4" t="s">
        <v>1</v>
      </c>
      <c r="E76" s="7" t="s">
        <v>5</v>
      </c>
      <c r="F76" s="7" t="s">
        <v>10</v>
      </c>
      <c r="G76" s="25" t="s">
        <v>2</v>
      </c>
    </row>
    <row r="78" spans="2:7" x14ac:dyDescent="0.25">
      <c r="B78" s="37" t="str">
        <f>'Code caisse'!$B$21</f>
        <v>Cosmétiques</v>
      </c>
      <c r="C78" s="38" t="str">
        <f xml:space="preserve"> "Code caisse :"</f>
        <v>Code caisse :</v>
      </c>
      <c r="D78" s="5">
        <f>'Code caisse'!$A$21</f>
        <v>19</v>
      </c>
    </row>
    <row r="79" spans="2:7" x14ac:dyDescent="0.25">
      <c r="B79" s="36" t="s">
        <v>11</v>
      </c>
      <c r="C79" s="7" t="s">
        <v>0</v>
      </c>
      <c r="D79" s="4" t="s">
        <v>1</v>
      </c>
      <c r="E79" s="7" t="s">
        <v>5</v>
      </c>
      <c r="F79" s="7" t="s">
        <v>10</v>
      </c>
      <c r="G79" s="25" t="s">
        <v>2</v>
      </c>
    </row>
  </sheetData>
  <mergeCells count="1">
    <mergeCell ref="E7:F7"/>
  </mergeCells>
  <pageMargins left="0.7" right="0.7" top="0.75" bottom="0.75" header="0.3" footer="0.3"/>
  <pageSetup paperSize="9" orientation="portrait" r:id="rId1"/>
  <drawing r:id="rId2"/>
  <tableParts count="19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C8:G21"/>
  <sheetViews>
    <sheetView showGridLines="0" workbookViewId="0">
      <selection activeCell="A18" sqref="A18"/>
    </sheetView>
  </sheetViews>
  <sheetFormatPr baseColWidth="10" defaultRowHeight="15" x14ac:dyDescent="0.25"/>
  <cols>
    <col min="1" max="2" width="11.42578125" style="7"/>
    <col min="3" max="3" width="12.7109375" style="7" customWidth="1"/>
    <col min="4" max="4" width="25.85546875" style="7" customWidth="1"/>
    <col min="5" max="5" width="35" style="7" customWidth="1"/>
    <col min="6" max="6" width="27.5703125" style="7" customWidth="1"/>
    <col min="7" max="7" width="32.140625" style="7" customWidth="1"/>
    <col min="8" max="10" width="11.5703125" style="7" customWidth="1"/>
    <col min="11" max="16384" width="11.42578125" style="7"/>
  </cols>
  <sheetData>
    <row r="8" spans="3:7" ht="23.25" x14ac:dyDescent="0.25">
      <c r="F8" s="39" t="s">
        <v>33</v>
      </c>
      <c r="G8" s="39"/>
    </row>
    <row r="16" spans="3:7" x14ac:dyDescent="0.25">
      <c r="C16" s="7" t="s">
        <v>7</v>
      </c>
      <c r="D16" s="7" t="s">
        <v>1</v>
      </c>
      <c r="E16" s="7" t="s">
        <v>34</v>
      </c>
      <c r="F16" s="7" t="s">
        <v>35</v>
      </c>
      <c r="G16" s="7" t="s">
        <v>69</v>
      </c>
    </row>
    <row r="17" spans="3:7" x14ac:dyDescent="0.25">
      <c r="C17" s="4" t="str">
        <f>"FOUR"&amp;TEXT(ROW(C1),"000")</f>
        <v>FOUR001</v>
      </c>
      <c r="D17" s="7" t="s">
        <v>51</v>
      </c>
      <c r="E17" s="7" t="s">
        <v>52</v>
      </c>
      <c r="F17" s="7" t="s">
        <v>53</v>
      </c>
      <c r="G17" s="7" t="s">
        <v>54</v>
      </c>
    </row>
    <row r="18" spans="3:7" x14ac:dyDescent="0.25">
      <c r="C18" s="4" t="str">
        <f>"FOUR"&amp;TEXT(ROW(C2),"000")</f>
        <v>FOUR002</v>
      </c>
      <c r="D18" s="7" t="s">
        <v>59</v>
      </c>
      <c r="E18" s="7" t="s">
        <v>50</v>
      </c>
      <c r="F18" s="7" t="s">
        <v>58</v>
      </c>
      <c r="G18" s="7" t="s">
        <v>59</v>
      </c>
    </row>
    <row r="19" spans="3:7" x14ac:dyDescent="0.25">
      <c r="C19" s="4" t="str">
        <f>"FOUR"&amp;TEXT(ROW(C3),"000")</f>
        <v>FOUR003</v>
      </c>
      <c r="D19" s="7" t="s">
        <v>101</v>
      </c>
      <c r="E19" s="7" t="s">
        <v>102</v>
      </c>
      <c r="F19" s="7" t="s">
        <v>103</v>
      </c>
      <c r="G19" s="7" t="s">
        <v>104</v>
      </c>
    </row>
    <row r="20" spans="3:7" x14ac:dyDescent="0.25">
      <c r="C20" s="4" t="str">
        <f>"FOUR"&amp;TEXT(ROW(C4),"000")</f>
        <v>FOUR004</v>
      </c>
      <c r="D20" s="7" t="s">
        <v>50</v>
      </c>
      <c r="E20" s="7" t="s">
        <v>119</v>
      </c>
      <c r="F20" s="7" t="s">
        <v>120</v>
      </c>
      <c r="G20" s="7" t="s">
        <v>121</v>
      </c>
    </row>
    <row r="21" spans="3:7" x14ac:dyDescent="0.25">
      <c r="C21" s="4" t="str">
        <f>"FOUR"&amp;TEXT(ROW(C5),"000")</f>
        <v>FOUR005</v>
      </c>
      <c r="D21" s="7" t="s">
        <v>58</v>
      </c>
      <c r="E21" s="7" t="s">
        <v>135</v>
      </c>
      <c r="F21" s="7" t="s">
        <v>136</v>
      </c>
      <c r="G21" s="7" t="s">
        <v>137</v>
      </c>
    </row>
  </sheetData>
  <mergeCells count="1">
    <mergeCell ref="F8:G8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E2:L12"/>
  <sheetViews>
    <sheetView workbookViewId="0"/>
  </sheetViews>
  <sheetFormatPr baseColWidth="10" defaultRowHeight="15" x14ac:dyDescent="0.25"/>
  <cols>
    <col min="2" max="2" width="19.5703125" bestFit="1" customWidth="1"/>
    <col min="3" max="3" width="32.85546875" customWidth="1"/>
    <col min="4" max="4" width="12" bestFit="1" customWidth="1"/>
    <col min="5" max="5" width="16.7109375" customWidth="1"/>
    <col min="6" max="6" width="16.28515625" customWidth="1"/>
    <col min="7" max="7" width="27.7109375" bestFit="1" customWidth="1"/>
    <col min="8" max="10" width="11.5703125" customWidth="1"/>
    <col min="11" max="11" width="12.5703125" customWidth="1"/>
  </cols>
  <sheetData>
    <row r="2" spans="5:12" x14ac:dyDescent="0.25">
      <c r="I2" s="27"/>
      <c r="J2" s="27"/>
      <c r="K2" s="27"/>
      <c r="L2" s="27"/>
    </row>
    <row r="3" spans="5:12" x14ac:dyDescent="0.25">
      <c r="I3" s="27"/>
      <c r="J3" s="27"/>
      <c r="K3" s="27"/>
      <c r="L3" s="27"/>
    </row>
    <row r="8" spans="5:12" ht="23.25" x14ac:dyDescent="0.35">
      <c r="G8" s="2" t="s">
        <v>42</v>
      </c>
    </row>
    <row r="12" spans="5:12" x14ac:dyDescent="0.25">
      <c r="E12" s="1"/>
    </row>
  </sheetData>
  <mergeCells count="1">
    <mergeCell ref="I2:L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9:J22"/>
  <sheetViews>
    <sheetView workbookViewId="0">
      <selection activeCell="C1" sqref="C1:C1048576"/>
    </sheetView>
  </sheetViews>
  <sheetFormatPr baseColWidth="10" defaultRowHeight="15" x14ac:dyDescent="0.25"/>
  <cols>
    <col min="2" max="2" width="11.5703125" style="7" customWidth="1"/>
    <col min="3" max="3" width="10.5703125" style="20" customWidth="1"/>
    <col min="4" max="4" width="11.85546875" style="7" customWidth="1"/>
    <col min="5" max="5" width="39.140625" style="7" customWidth="1"/>
    <col min="6" max="6" width="17.7109375" style="7" customWidth="1"/>
    <col min="7" max="7" width="13.42578125" style="25" bestFit="1" customWidth="1"/>
    <col min="8" max="8" width="14.42578125" style="25" customWidth="1"/>
    <col min="9" max="9" width="13.85546875" style="7" customWidth="1"/>
    <col min="10" max="10" width="37" customWidth="1"/>
  </cols>
  <sheetData>
    <row r="9" spans="2:10" ht="23.25" x14ac:dyDescent="0.35">
      <c r="G9" s="28" t="s">
        <v>65</v>
      </c>
      <c r="H9" s="28"/>
    </row>
    <row r="14" spans="2:10" ht="30" x14ac:dyDescent="0.25">
      <c r="B14" s="20" t="s">
        <v>9</v>
      </c>
      <c r="C14" s="20" t="s">
        <v>11</v>
      </c>
      <c r="D14" s="20" t="s">
        <v>0</v>
      </c>
      <c r="E14" s="20" t="s">
        <v>1</v>
      </c>
      <c r="F14" s="20" t="s">
        <v>10</v>
      </c>
      <c r="G14" s="20" t="s">
        <v>8</v>
      </c>
      <c r="H14" s="23" t="s">
        <v>68</v>
      </c>
      <c r="I14" s="23" t="s">
        <v>70</v>
      </c>
      <c r="J14" s="20" t="s">
        <v>69</v>
      </c>
    </row>
    <row r="15" spans="2:10" x14ac:dyDescent="0.25">
      <c r="B15" s="21" t="s">
        <v>74</v>
      </c>
      <c r="C15" s="20">
        <v>2</v>
      </c>
      <c r="D15" s="21" t="s">
        <v>75</v>
      </c>
      <c r="E15" s="21" t="s">
        <v>50</v>
      </c>
      <c r="F15" s="21"/>
      <c r="G15" s="21">
        <v>3</v>
      </c>
      <c r="H15" s="24">
        <v>12</v>
      </c>
      <c r="I15" s="24">
        <v>45</v>
      </c>
      <c r="J15" s="21" t="s">
        <v>76</v>
      </c>
    </row>
    <row r="16" spans="2:10" x14ac:dyDescent="0.25">
      <c r="B16" s="22">
        <v>41620</v>
      </c>
      <c r="C16" s="20">
        <v>3</v>
      </c>
      <c r="D16" s="21" t="s">
        <v>77</v>
      </c>
      <c r="E16" s="21" t="s">
        <v>46</v>
      </c>
      <c r="F16" s="21"/>
      <c r="G16" s="21">
        <v>5</v>
      </c>
      <c r="H16" s="24">
        <v>12</v>
      </c>
      <c r="I16" s="24">
        <v>15</v>
      </c>
      <c r="J16" s="21" t="s">
        <v>78</v>
      </c>
    </row>
    <row r="17" spans="2:10" x14ac:dyDescent="0.25">
      <c r="B17" s="22">
        <v>40545</v>
      </c>
      <c r="C17" s="20">
        <v>1</v>
      </c>
      <c r="D17" s="21" t="s">
        <v>79</v>
      </c>
      <c r="E17" s="21" t="s">
        <v>71</v>
      </c>
      <c r="F17" s="21"/>
      <c r="G17" s="21">
        <v>2</v>
      </c>
      <c r="H17" s="24">
        <v>0.5</v>
      </c>
      <c r="I17" s="24">
        <v>2</v>
      </c>
      <c r="J17" s="21" t="s">
        <v>80</v>
      </c>
    </row>
    <row r="18" spans="2:10" x14ac:dyDescent="0.25">
      <c r="B18" s="22" t="s">
        <v>74</v>
      </c>
      <c r="C18" s="20">
        <v>1</v>
      </c>
      <c r="D18" s="21" t="s">
        <v>81</v>
      </c>
      <c r="E18" s="21" t="s">
        <v>55</v>
      </c>
      <c r="F18" s="21"/>
      <c r="G18" s="21">
        <v>1</v>
      </c>
      <c r="H18" s="24">
        <v>2</v>
      </c>
      <c r="I18" s="24">
        <v>3</v>
      </c>
      <c r="J18" s="21" t="s">
        <v>82</v>
      </c>
    </row>
    <row r="19" spans="2:10" x14ac:dyDescent="0.25">
      <c r="B19" s="22">
        <v>41255</v>
      </c>
      <c r="C19" s="20">
        <v>3</v>
      </c>
      <c r="D19" s="21" t="s">
        <v>105</v>
      </c>
      <c r="E19" s="21" t="s">
        <v>99</v>
      </c>
      <c r="F19" s="21"/>
      <c r="G19" s="21">
        <v>2</v>
      </c>
      <c r="H19" s="24">
        <v>2</v>
      </c>
      <c r="I19" s="24">
        <v>3</v>
      </c>
      <c r="J19" s="21" t="s">
        <v>106</v>
      </c>
    </row>
    <row r="20" spans="2:10" x14ac:dyDescent="0.25">
      <c r="B20" s="22">
        <v>41255</v>
      </c>
      <c r="C20" s="20">
        <v>2</v>
      </c>
      <c r="D20" s="21" t="s">
        <v>107</v>
      </c>
      <c r="E20" s="21" t="s">
        <v>97</v>
      </c>
      <c r="F20" s="21" t="s">
        <v>98</v>
      </c>
      <c r="G20" s="21">
        <v>2</v>
      </c>
      <c r="H20" s="24">
        <v>11</v>
      </c>
      <c r="I20" s="24">
        <v>12</v>
      </c>
      <c r="J20" s="21" t="s">
        <v>108</v>
      </c>
    </row>
    <row r="21" spans="2:10" x14ac:dyDescent="0.25">
      <c r="B21" s="22">
        <v>41255</v>
      </c>
      <c r="C21" s="20">
        <v>2</v>
      </c>
      <c r="D21" s="21" t="s">
        <v>75</v>
      </c>
      <c r="E21" s="21" t="s">
        <v>50</v>
      </c>
      <c r="F21" s="21" t="s">
        <v>50</v>
      </c>
      <c r="G21" s="21">
        <v>3</v>
      </c>
      <c r="H21" s="24">
        <v>1</v>
      </c>
      <c r="I21" s="24" t="s">
        <v>50</v>
      </c>
      <c r="J21" s="21" t="s">
        <v>109</v>
      </c>
    </row>
    <row r="22" spans="2:10" x14ac:dyDescent="0.25">
      <c r="B22" s="22">
        <v>41255</v>
      </c>
      <c r="C22" s="20">
        <v>2</v>
      </c>
      <c r="D22" s="21" t="s">
        <v>107</v>
      </c>
      <c r="E22" s="21" t="s">
        <v>97</v>
      </c>
      <c r="F22" s="21" t="s">
        <v>98</v>
      </c>
      <c r="G22" s="21">
        <v>12</v>
      </c>
      <c r="H22" s="24">
        <v>10</v>
      </c>
      <c r="I22" s="24">
        <v>12</v>
      </c>
      <c r="J22" s="21" t="s">
        <v>110</v>
      </c>
    </row>
  </sheetData>
  <mergeCells count="1">
    <mergeCell ref="G9:H9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9:M22"/>
  <sheetViews>
    <sheetView topLeftCell="A7" workbookViewId="0">
      <selection activeCell="F10" sqref="F10"/>
    </sheetView>
  </sheetViews>
  <sheetFormatPr baseColWidth="10" defaultRowHeight="15" x14ac:dyDescent="0.25"/>
  <cols>
    <col min="1" max="1" width="11.42578125" style="7"/>
    <col min="2" max="2" width="12.5703125" style="7" customWidth="1"/>
    <col min="3" max="3" width="18.28515625" style="20" customWidth="1"/>
    <col min="4" max="4" width="10.85546875" style="20" customWidth="1"/>
    <col min="5" max="5" width="12.42578125" style="7" customWidth="1"/>
    <col min="6" max="6" width="37.7109375" style="7" customWidth="1"/>
    <col min="7" max="7" width="12.7109375" style="7" customWidth="1"/>
    <col min="8" max="8" width="12.5703125" style="7" bestFit="1" customWidth="1"/>
    <col min="9" max="9" width="13" style="7" customWidth="1"/>
    <col min="10" max="10" width="10.140625" style="7" customWidth="1"/>
    <col min="11" max="11" width="14.28515625" style="7" customWidth="1"/>
    <col min="12" max="12" width="19.85546875" style="7" bestFit="1" customWidth="1"/>
    <col min="13" max="13" width="26.7109375" style="7" customWidth="1"/>
    <col min="14" max="16384" width="11.42578125" style="7"/>
  </cols>
  <sheetData>
    <row r="9" spans="2:13" ht="23.25" x14ac:dyDescent="0.35">
      <c r="G9" s="35" t="s">
        <v>66</v>
      </c>
      <c r="H9" s="35"/>
      <c r="I9" s="35"/>
    </row>
    <row r="14" spans="2:13" ht="30" x14ac:dyDescent="0.25">
      <c r="B14" s="20" t="s">
        <v>9</v>
      </c>
      <c r="C14" s="20" t="s">
        <v>84</v>
      </c>
      <c r="D14" s="20" t="s">
        <v>11</v>
      </c>
      <c r="E14" s="20" t="s">
        <v>0</v>
      </c>
      <c r="F14" s="20" t="s">
        <v>1</v>
      </c>
      <c r="G14" s="20" t="s">
        <v>10</v>
      </c>
      <c r="H14" s="20" t="s">
        <v>8</v>
      </c>
      <c r="I14" s="23" t="s">
        <v>70</v>
      </c>
      <c r="J14" s="23" t="s">
        <v>85</v>
      </c>
      <c r="K14" s="23" t="s">
        <v>6</v>
      </c>
      <c r="L14" s="23" t="s">
        <v>83</v>
      </c>
      <c r="M14" s="20" t="s">
        <v>69</v>
      </c>
    </row>
    <row r="15" spans="2:13" x14ac:dyDescent="0.25">
      <c r="B15" s="22">
        <v>41255</v>
      </c>
      <c r="C15" s="20" t="s">
        <v>86</v>
      </c>
      <c r="D15" s="20">
        <v>1</v>
      </c>
      <c r="E15" s="21" t="s">
        <v>81</v>
      </c>
      <c r="F15" s="21" t="s">
        <v>55</v>
      </c>
      <c r="G15" s="21"/>
      <c r="H15" s="21">
        <v>14</v>
      </c>
      <c r="I15" s="24"/>
      <c r="J15" s="24"/>
      <c r="K15" s="24">
        <f>ventes[Quantité]*ventes[Prix de vente unitaire]</f>
        <v>0</v>
      </c>
      <c r="L15" s="24"/>
      <c r="M15" s="21"/>
    </row>
    <row r="16" spans="2:13" x14ac:dyDescent="0.25">
      <c r="B16" s="22">
        <v>41255</v>
      </c>
      <c r="C16" s="20" t="s">
        <v>86</v>
      </c>
      <c r="D16" s="20">
        <v>1</v>
      </c>
      <c r="E16" s="21" t="s">
        <v>79</v>
      </c>
      <c r="F16" s="21" t="s">
        <v>71</v>
      </c>
      <c r="G16" s="21"/>
      <c r="H16" s="21">
        <v>2</v>
      </c>
      <c r="I16" s="24">
        <v>12</v>
      </c>
      <c r="J16" s="24" t="s">
        <v>87</v>
      </c>
      <c r="K16" s="24">
        <f>ventes[Quantité]*ventes[Prix de vente unitaire]</f>
        <v>24</v>
      </c>
      <c r="L16" s="24" t="s">
        <v>88</v>
      </c>
      <c r="M16" s="21" t="s">
        <v>89</v>
      </c>
    </row>
    <row r="17" spans="2:13" x14ac:dyDescent="0.25">
      <c r="B17" s="22">
        <v>40880</v>
      </c>
      <c r="C17" s="20" t="s">
        <v>90</v>
      </c>
      <c r="D17" s="20">
        <v>3</v>
      </c>
      <c r="E17" s="21" t="s">
        <v>77</v>
      </c>
      <c r="F17" s="21" t="s">
        <v>46</v>
      </c>
      <c r="G17" s="21"/>
      <c r="H17" s="21">
        <v>2</v>
      </c>
      <c r="I17" s="24" t="s">
        <v>47</v>
      </c>
      <c r="J17" s="24"/>
      <c r="K17" s="24" t="e">
        <f>ventes[Quantité]*ventes[Prix de vente unitaire]</f>
        <v>#VALUE!</v>
      </c>
      <c r="L17" s="24" t="s">
        <v>91</v>
      </c>
      <c r="M17" s="21" t="s">
        <v>92</v>
      </c>
    </row>
    <row r="18" spans="2:13" x14ac:dyDescent="0.25">
      <c r="B18" s="22">
        <v>41255</v>
      </c>
      <c r="C18" s="20" t="s">
        <v>111</v>
      </c>
      <c r="D18" s="20">
        <v>3</v>
      </c>
      <c r="E18" s="21" t="s">
        <v>105</v>
      </c>
      <c r="F18" s="21" t="s">
        <v>99</v>
      </c>
      <c r="G18" s="21" t="s">
        <v>100</v>
      </c>
      <c r="H18" s="21">
        <v>1</v>
      </c>
      <c r="I18" s="24"/>
      <c r="J18" s="24"/>
      <c r="K18" s="24">
        <f>ventes[Quantité]*ventes[Prix de vente unitaire]</f>
        <v>0</v>
      </c>
      <c r="L18" s="24" t="s">
        <v>112</v>
      </c>
      <c r="M18" s="21"/>
    </row>
    <row r="19" spans="2:13" x14ac:dyDescent="0.25">
      <c r="B19" s="22">
        <v>41255</v>
      </c>
      <c r="C19" s="20" t="s">
        <v>86</v>
      </c>
      <c r="D19" s="20">
        <v>1</v>
      </c>
      <c r="E19" s="21" t="s">
        <v>113</v>
      </c>
      <c r="F19" s="21" t="s">
        <v>95</v>
      </c>
      <c r="G19" s="21" t="s">
        <v>96</v>
      </c>
      <c r="H19" s="21">
        <v>2</v>
      </c>
      <c r="I19" s="24"/>
      <c r="J19" s="24" t="s">
        <v>87</v>
      </c>
      <c r="K19" s="24">
        <f>ventes[Quantité]*ventes[Prix de vente unitaire]</f>
        <v>0</v>
      </c>
      <c r="L19" s="24" t="s">
        <v>112</v>
      </c>
      <c r="M19" s="21" t="s">
        <v>114</v>
      </c>
    </row>
    <row r="20" spans="2:13" x14ac:dyDescent="0.25">
      <c r="B20" s="22">
        <v>41255</v>
      </c>
      <c r="C20" s="20" t="s">
        <v>86</v>
      </c>
      <c r="D20" s="20">
        <v>3</v>
      </c>
      <c r="E20" s="21" t="s">
        <v>105</v>
      </c>
      <c r="F20" s="21" t="s">
        <v>99</v>
      </c>
      <c r="G20" s="21" t="s">
        <v>100</v>
      </c>
      <c r="H20" s="21">
        <v>2</v>
      </c>
      <c r="I20" s="24">
        <v>3</v>
      </c>
      <c r="J20" s="24"/>
      <c r="K20" s="24">
        <f>ventes[Quantité]*ventes[Prix de vente unitaire]</f>
        <v>6</v>
      </c>
      <c r="L20" s="24" t="s">
        <v>88</v>
      </c>
      <c r="M20" s="21" t="s">
        <v>115</v>
      </c>
    </row>
    <row r="21" spans="2:13" x14ac:dyDescent="0.25">
      <c r="B21" s="22">
        <v>41255</v>
      </c>
      <c r="C21" s="20" t="s">
        <v>111</v>
      </c>
      <c r="D21" s="20">
        <v>2</v>
      </c>
      <c r="E21" s="21" t="s">
        <v>107</v>
      </c>
      <c r="F21" s="21" t="s">
        <v>97</v>
      </c>
      <c r="G21" s="21" t="s">
        <v>98</v>
      </c>
      <c r="H21" s="21">
        <v>2</v>
      </c>
      <c r="I21" s="24">
        <v>12</v>
      </c>
      <c r="J21" s="24" t="s">
        <v>87</v>
      </c>
      <c r="K21" s="24">
        <f>ventes[Quantité]*ventes[Prix de vente unitaire]</f>
        <v>24</v>
      </c>
      <c r="L21" s="24" t="s">
        <v>88</v>
      </c>
      <c r="M21" s="21" t="s">
        <v>116</v>
      </c>
    </row>
    <row r="22" spans="2:13" x14ac:dyDescent="0.25">
      <c r="B22" s="22">
        <v>41255</v>
      </c>
      <c r="C22" s="20" t="s">
        <v>117</v>
      </c>
      <c r="D22" s="20">
        <v>3</v>
      </c>
      <c r="E22" s="21" t="s">
        <v>105</v>
      </c>
      <c r="F22" s="21" t="s">
        <v>99</v>
      </c>
      <c r="G22" s="21" t="s">
        <v>100</v>
      </c>
      <c r="H22" s="21">
        <v>1000</v>
      </c>
      <c r="I22" s="24">
        <v>2</v>
      </c>
      <c r="J22" s="24" t="s">
        <v>87</v>
      </c>
      <c r="K22" s="24">
        <f>ventes[Quantité]*ventes[Prix de vente unitaire]</f>
        <v>2000</v>
      </c>
      <c r="L22" s="24" t="s">
        <v>88</v>
      </c>
      <c r="M22" s="21" t="s">
        <v>134</v>
      </c>
    </row>
  </sheetData>
  <mergeCells count="1">
    <mergeCell ref="G9:I9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I15"/>
  <sheetViews>
    <sheetView workbookViewId="0">
      <selection activeCell="D10" sqref="D10"/>
    </sheetView>
  </sheetViews>
  <sheetFormatPr baseColWidth="10" defaultRowHeight="15" x14ac:dyDescent="0.25"/>
  <cols>
    <col min="1" max="1" width="11.5703125" style="7" customWidth="1"/>
    <col min="2" max="2" width="10.7109375" style="7" customWidth="1"/>
    <col min="3" max="3" width="15.5703125" style="7" customWidth="1"/>
    <col min="4" max="4" width="38" style="7" customWidth="1"/>
    <col min="5" max="5" width="13" style="7" bestFit="1" customWidth="1"/>
    <col min="6" max="6" width="13.42578125" style="7" bestFit="1" customWidth="1"/>
    <col min="7" max="7" width="16.85546875" style="25" customWidth="1"/>
    <col min="8" max="8" width="16.140625" style="25" customWidth="1"/>
    <col min="9" max="9" width="15.42578125" style="25" customWidth="1"/>
    <col min="10" max="16384" width="11.42578125" style="7"/>
  </cols>
  <sheetData>
    <row r="1" spans="1:9" x14ac:dyDescent="0.25">
      <c r="A1" s="7" t="s">
        <v>129</v>
      </c>
      <c r="B1" s="7" t="s">
        <v>130</v>
      </c>
      <c r="C1" s="7" t="s">
        <v>131</v>
      </c>
      <c r="D1" s="7" t="s">
        <v>132</v>
      </c>
    </row>
    <row r="8" spans="1:9" ht="23.25" x14ac:dyDescent="0.35">
      <c r="E8" s="35" t="s">
        <v>67</v>
      </c>
      <c r="F8" s="35"/>
      <c r="G8" s="31"/>
    </row>
    <row r="13" spans="1:9" x14ac:dyDescent="0.25">
      <c r="G13" s="7"/>
      <c r="H13" s="7"/>
      <c r="I13" s="7"/>
    </row>
    <row r="14" spans="1:9" s="20" customFormat="1" ht="30" x14ac:dyDescent="0.25">
      <c r="B14" s="32" t="s">
        <v>11</v>
      </c>
      <c r="C14" s="32" t="s">
        <v>0</v>
      </c>
      <c r="D14" s="32" t="s">
        <v>1</v>
      </c>
      <c r="E14" s="32" t="s">
        <v>10</v>
      </c>
      <c r="F14" s="32" t="s">
        <v>8</v>
      </c>
      <c r="G14" s="32" t="s">
        <v>133</v>
      </c>
      <c r="H14" s="32" t="s">
        <v>93</v>
      </c>
      <c r="I14" s="33" t="s">
        <v>94</v>
      </c>
    </row>
    <row r="15" spans="1:9" x14ac:dyDescent="0.25">
      <c r="B15" s="30"/>
      <c r="C15" s="30"/>
      <c r="D15" s="30"/>
      <c r="E15" s="30"/>
      <c r="F15" s="30"/>
      <c r="G15" s="30"/>
      <c r="H15" s="30"/>
      <c r="I15" s="34"/>
    </row>
  </sheetData>
  <mergeCells count="1">
    <mergeCell ref="E8:F8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G8"/>
  <sheetViews>
    <sheetView workbookViewId="0">
      <selection activeCell="L8" sqref="L8"/>
    </sheetView>
  </sheetViews>
  <sheetFormatPr baseColWidth="10" defaultColWidth="14.42578125" defaultRowHeight="15" x14ac:dyDescent="0.25"/>
  <sheetData>
    <row r="8" spans="7:7" ht="23.25" x14ac:dyDescent="0.35">
      <c r="G8" s="2" t="s">
        <v>43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G8"/>
  <sheetViews>
    <sheetView workbookViewId="0">
      <selection activeCell="I18" sqref="I18"/>
    </sheetView>
  </sheetViews>
  <sheetFormatPr baseColWidth="10" defaultColWidth="15.42578125" defaultRowHeight="15" x14ac:dyDescent="0.25"/>
  <sheetData>
    <row r="8" spans="7:7" ht="23.25" x14ac:dyDescent="0.35">
      <c r="G8" s="2" t="s">
        <v>44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G8"/>
  <sheetViews>
    <sheetView workbookViewId="0">
      <selection activeCell="L4" sqref="L4"/>
    </sheetView>
  </sheetViews>
  <sheetFormatPr baseColWidth="10" defaultRowHeight="15" x14ac:dyDescent="0.25"/>
  <sheetData>
    <row r="8" spans="7:7" ht="23.25" x14ac:dyDescent="0.35">
      <c r="G8" s="2" t="s">
        <v>45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8:G27"/>
  <sheetViews>
    <sheetView showGridLines="0" workbookViewId="0">
      <selection activeCell="F32" sqref="F32"/>
    </sheetView>
  </sheetViews>
  <sheetFormatPr baseColWidth="10" defaultColWidth="15.140625" defaultRowHeight="15" x14ac:dyDescent="0.25"/>
  <cols>
    <col min="6" max="6" width="46.140625" customWidth="1"/>
    <col min="7" max="7" width="17" customWidth="1"/>
    <col min="8" max="8" width="15.140625" customWidth="1"/>
  </cols>
  <sheetData>
    <row r="8" spans="2:7" ht="23.25" x14ac:dyDescent="0.35">
      <c r="F8" s="2" t="s">
        <v>37</v>
      </c>
    </row>
    <row r="11" spans="2:7" ht="15.75" x14ac:dyDescent="0.25">
      <c r="B11" s="8" t="s">
        <v>60</v>
      </c>
      <c r="C11" s="8" t="s">
        <v>38</v>
      </c>
      <c r="D11" s="8" t="s">
        <v>6</v>
      </c>
      <c r="F11" s="11" t="s">
        <v>40</v>
      </c>
      <c r="G11" s="13">
        <v>200</v>
      </c>
    </row>
    <row r="12" spans="2:7" ht="15.75" x14ac:dyDescent="0.25">
      <c r="B12" s="3"/>
      <c r="C12" s="9">
        <v>0.01</v>
      </c>
      <c r="D12" s="10">
        <f>Tableau23[[#This Row],[Nombre]]*Tableau23[[#This Row],[€]]</f>
        <v>0</v>
      </c>
      <c r="F12" s="12" t="s">
        <v>61</v>
      </c>
      <c r="G12" s="14">
        <v>781.03</v>
      </c>
    </row>
    <row r="13" spans="2:7" ht="15.75" x14ac:dyDescent="0.25">
      <c r="B13" s="3">
        <v>2</v>
      </c>
      <c r="C13" s="9">
        <v>0.02</v>
      </c>
      <c r="D13" s="10">
        <f>Tableau23[[#This Row],[Nombre]]*Tableau23[[#This Row],[€]]</f>
        <v>0.04</v>
      </c>
      <c r="F13" s="11" t="s">
        <v>62</v>
      </c>
      <c r="G13" s="13">
        <f>D27</f>
        <v>791.04</v>
      </c>
    </row>
    <row r="14" spans="2:7" ht="18.75" x14ac:dyDescent="0.3">
      <c r="B14" s="3">
        <v>10</v>
      </c>
      <c r="C14" s="9">
        <v>0.05</v>
      </c>
      <c r="D14" s="10">
        <f>Tableau23[[#This Row],[Nombre]]*Tableau23[[#This Row],[€]]</f>
        <v>0.5</v>
      </c>
      <c r="F14" s="12" t="s">
        <v>63</v>
      </c>
      <c r="G14" s="16">
        <f>ABS(G13-G12)</f>
        <v>10.009999999999991</v>
      </c>
    </row>
    <row r="15" spans="2:7" ht="23.25" x14ac:dyDescent="0.35">
      <c r="B15" s="3"/>
      <c r="C15" s="9">
        <v>0.1</v>
      </c>
      <c r="D15" s="10">
        <f>Tableau23[[#This Row],[Nombre]]*Tableau23[[#This Row],[€]]</f>
        <v>0</v>
      </c>
      <c r="F15" s="17" t="s">
        <v>41</v>
      </c>
      <c r="G15" s="15">
        <f>G13-G11</f>
        <v>591.04</v>
      </c>
    </row>
    <row r="16" spans="2:7" ht="15.75" x14ac:dyDescent="0.25">
      <c r="B16" s="3"/>
      <c r="C16" s="9">
        <v>0.2</v>
      </c>
      <c r="D16" s="10">
        <f>Tableau23[[#This Row],[Nombre]]*Tableau23[[#This Row],[€]]</f>
        <v>0</v>
      </c>
    </row>
    <row r="17" spans="2:7" ht="15.75" x14ac:dyDescent="0.25">
      <c r="B17" s="3">
        <v>23</v>
      </c>
      <c r="C17" s="9">
        <v>0.5</v>
      </c>
      <c r="D17" s="10">
        <f>Tableau23[[#This Row],[Nombre]]*Tableau23[[#This Row],[€]]</f>
        <v>11.5</v>
      </c>
    </row>
    <row r="18" spans="2:7" ht="15.75" x14ac:dyDescent="0.25">
      <c r="B18" s="3">
        <v>3</v>
      </c>
      <c r="C18" s="9">
        <v>1</v>
      </c>
      <c r="D18" s="10">
        <f>Tableau23[[#This Row],[Nombre]]*Tableau23[[#This Row],[€]]</f>
        <v>3</v>
      </c>
      <c r="F18" s="12" t="s">
        <v>64</v>
      </c>
      <c r="G18" s="18">
        <v>3</v>
      </c>
    </row>
    <row r="19" spans="2:7" ht="23.25" x14ac:dyDescent="0.35">
      <c r="B19" s="3">
        <v>8</v>
      </c>
      <c r="C19" s="9">
        <v>2</v>
      </c>
      <c r="D19" s="10">
        <f>Tableau23[[#This Row],[Nombre]]*Tableau23[[#This Row],[€]]</f>
        <v>16</v>
      </c>
      <c r="F19" s="17" t="s">
        <v>6</v>
      </c>
      <c r="G19" s="15">
        <v>39</v>
      </c>
    </row>
    <row r="20" spans="2:7" ht="15.75" x14ac:dyDescent="0.25">
      <c r="B20" s="3">
        <v>6</v>
      </c>
      <c r="C20" s="9">
        <v>5</v>
      </c>
      <c r="D20" s="10">
        <f>Tableau23[[#This Row],[Nombre]]*Tableau23[[#This Row],[€]]</f>
        <v>30</v>
      </c>
    </row>
    <row r="21" spans="2:7" ht="15.75" x14ac:dyDescent="0.25">
      <c r="B21" s="3">
        <v>3</v>
      </c>
      <c r="C21" s="9">
        <v>10</v>
      </c>
      <c r="D21" s="10">
        <f>Tableau23[[#This Row],[Nombre]]*Tableau23[[#This Row],[€]]</f>
        <v>30</v>
      </c>
    </row>
    <row r="22" spans="2:7" ht="15.75" x14ac:dyDescent="0.25">
      <c r="B22" s="3">
        <v>5</v>
      </c>
      <c r="C22" s="9">
        <v>20</v>
      </c>
      <c r="D22" s="10">
        <f>Tableau23[[#This Row],[Nombre]]*Tableau23[[#This Row],[€]]</f>
        <v>100</v>
      </c>
    </row>
    <row r="23" spans="2:7" ht="15.75" x14ac:dyDescent="0.25">
      <c r="B23" s="3">
        <v>2</v>
      </c>
      <c r="C23" s="9">
        <v>50</v>
      </c>
      <c r="D23" s="10">
        <f>Tableau23[[#This Row],[Nombre]]*Tableau23[[#This Row],[€]]</f>
        <v>100</v>
      </c>
    </row>
    <row r="24" spans="2:7" ht="15.75" x14ac:dyDescent="0.25">
      <c r="B24" s="3"/>
      <c r="C24" s="9">
        <v>100</v>
      </c>
      <c r="D24" s="10">
        <f>Tableau23[[#This Row],[Nombre]]*Tableau23[[#This Row],[€]]</f>
        <v>0</v>
      </c>
    </row>
    <row r="25" spans="2:7" ht="15.75" x14ac:dyDescent="0.25">
      <c r="B25" s="3"/>
      <c r="C25" s="9">
        <v>200</v>
      </c>
      <c r="D25" s="10">
        <f>Tableau23[[#This Row],[Nombre]]*Tableau23[[#This Row],[€]]</f>
        <v>0</v>
      </c>
    </row>
    <row r="26" spans="2:7" ht="15.75" x14ac:dyDescent="0.25">
      <c r="B26" s="3">
        <v>1</v>
      </c>
      <c r="C26" s="9">
        <v>500</v>
      </c>
      <c r="D26" s="10">
        <f>Tableau23[[#This Row],[Nombre]]*Tableau23[[#This Row],[€]]</f>
        <v>500</v>
      </c>
    </row>
    <row r="27" spans="2:7" ht="21" x14ac:dyDescent="0.35">
      <c r="B27" s="29" t="s">
        <v>39</v>
      </c>
      <c r="C27" s="29"/>
      <c r="D27" s="19">
        <f>SUM(Tableau23[Total])</f>
        <v>791.04</v>
      </c>
    </row>
  </sheetData>
  <mergeCells count="1">
    <mergeCell ref="B27:C27"/>
  </mergeCells>
  <conditionalFormatting sqref="G14">
    <cfRule type="cellIs" dxfId="2" priority="1" operator="greaterThan">
      <formula>10</formula>
    </cfRule>
    <cfRule type="cellIs" dxfId="1" priority="2" operator="equal">
      <formula>0</formula>
    </cfRule>
    <cfRule type="cellIs" dxfId="0" priority="3" operator="between">
      <formula>0</formula>
      <formula>10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21"/>
  <sheetViews>
    <sheetView workbookViewId="0">
      <selection activeCell="G14" sqref="G14"/>
    </sheetView>
  </sheetViews>
  <sheetFormatPr baseColWidth="10" defaultRowHeight="15" x14ac:dyDescent="0.25"/>
  <cols>
    <col min="1" max="1" width="19.7109375" customWidth="1"/>
    <col min="2" max="2" width="22" customWidth="1"/>
  </cols>
  <sheetData>
    <row r="1" spans="1:2" x14ac:dyDescent="0.25">
      <c r="A1" t="s">
        <v>12</v>
      </c>
    </row>
    <row r="3" spans="1:2" x14ac:dyDescent="0.25">
      <c r="A3">
        <v>1</v>
      </c>
      <c r="B3" t="s">
        <v>13</v>
      </c>
    </row>
    <row r="4" spans="1:2" x14ac:dyDescent="0.25">
      <c r="A4">
        <v>2</v>
      </c>
      <c r="B4" t="s">
        <v>14</v>
      </c>
    </row>
    <row r="5" spans="1:2" x14ac:dyDescent="0.25">
      <c r="A5">
        <v>3</v>
      </c>
      <c r="B5" t="s">
        <v>31</v>
      </c>
    </row>
    <row r="6" spans="1:2" x14ac:dyDescent="0.25">
      <c r="A6">
        <v>4</v>
      </c>
      <c r="B6" t="s">
        <v>30</v>
      </c>
    </row>
    <row r="7" spans="1:2" x14ac:dyDescent="0.25">
      <c r="A7">
        <v>5</v>
      </c>
      <c r="B7" t="s">
        <v>29</v>
      </c>
    </row>
    <row r="8" spans="1:2" x14ac:dyDescent="0.25">
      <c r="A8">
        <v>6</v>
      </c>
      <c r="B8" t="s">
        <v>28</v>
      </c>
    </row>
    <row r="9" spans="1:2" x14ac:dyDescent="0.25">
      <c r="A9">
        <v>7</v>
      </c>
      <c r="B9" t="s">
        <v>27</v>
      </c>
    </row>
    <row r="10" spans="1:2" x14ac:dyDescent="0.25">
      <c r="A10">
        <v>8</v>
      </c>
      <c r="B10" t="s">
        <v>26</v>
      </c>
    </row>
    <row r="11" spans="1:2" x14ac:dyDescent="0.25">
      <c r="A11">
        <v>9</v>
      </c>
      <c r="B11" t="s">
        <v>25</v>
      </c>
    </row>
    <row r="12" spans="1:2" x14ac:dyDescent="0.25">
      <c r="A12">
        <v>10</v>
      </c>
      <c r="B12" t="s">
        <v>24</v>
      </c>
    </row>
    <row r="13" spans="1:2" x14ac:dyDescent="0.25">
      <c r="A13">
        <v>11</v>
      </c>
      <c r="B13" t="s">
        <v>22</v>
      </c>
    </row>
    <row r="14" spans="1:2" x14ac:dyDescent="0.25">
      <c r="A14">
        <v>12</v>
      </c>
      <c r="B14" t="s">
        <v>21</v>
      </c>
    </row>
    <row r="15" spans="1:2" x14ac:dyDescent="0.25">
      <c r="A15">
        <v>13</v>
      </c>
      <c r="B15" t="s">
        <v>23</v>
      </c>
    </row>
    <row r="16" spans="1:2" x14ac:dyDescent="0.25">
      <c r="A16">
        <v>14</v>
      </c>
      <c r="B16" t="s">
        <v>20</v>
      </c>
    </row>
    <row r="17" spans="1:2" x14ac:dyDescent="0.25">
      <c r="A17">
        <v>15</v>
      </c>
      <c r="B17" t="s">
        <v>19</v>
      </c>
    </row>
    <row r="18" spans="1:2" x14ac:dyDescent="0.25">
      <c r="A18">
        <v>16</v>
      </c>
      <c r="B18" t="s">
        <v>18</v>
      </c>
    </row>
    <row r="19" spans="1:2" x14ac:dyDescent="0.25">
      <c r="A19">
        <v>17</v>
      </c>
      <c r="B19" t="s">
        <v>17</v>
      </c>
    </row>
    <row r="20" spans="1:2" x14ac:dyDescent="0.25">
      <c r="A20">
        <v>18</v>
      </c>
      <c r="B20" t="s">
        <v>16</v>
      </c>
    </row>
    <row r="21" spans="1:2" x14ac:dyDescent="0.25">
      <c r="A21">
        <v>19</v>
      </c>
      <c r="B2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Menu</vt:lpstr>
      <vt:lpstr>Gestion des produits</vt:lpstr>
      <vt:lpstr>Gestion des fournisseurs</vt:lpstr>
      <vt:lpstr>Gestion des stocks</vt:lpstr>
      <vt:lpstr>Journal des achats</vt:lpstr>
      <vt:lpstr>Journal des ventes</vt:lpstr>
      <vt:lpstr>Vue des stocks</vt:lpstr>
      <vt:lpstr>Bilan</vt:lpstr>
      <vt:lpstr>Compte de résultat</vt:lpstr>
      <vt:lpstr>Tableau de bord</vt:lpstr>
      <vt:lpstr>Fiche de caisse</vt:lpstr>
      <vt:lpstr>Calcul du cout des stocks</vt:lpstr>
      <vt:lpstr>Code caisse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Claire</dc:creator>
  <cp:lastModifiedBy>marine mansier</cp:lastModifiedBy>
  <dcterms:created xsi:type="dcterms:W3CDTF">2013-04-08T14:38:55Z</dcterms:created>
  <dcterms:modified xsi:type="dcterms:W3CDTF">2013-04-23T12:31:40Z</dcterms:modified>
</cp:coreProperties>
</file>